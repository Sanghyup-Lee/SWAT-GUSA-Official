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space\Sobol\1_finalize_parameter\"/>
    </mc:Choice>
  </mc:AlternateContent>
  <xr:revisionPtr revIDLastSave="0" documentId="13_ncr:1_{B1F4FADB-0654-4533-B2CE-392038E9DCF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allcase" sheetId="2" r:id="rId2"/>
    <sheet name="avg" sheetId="3" r:id="rId3"/>
    <sheet name="max" sheetId="4" r:id="rId4"/>
    <sheet name="min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2" l="1"/>
  <c r="X21" i="2"/>
  <c r="X7" i="2"/>
  <c r="W7" i="2"/>
  <c r="V5" i="2"/>
  <c r="U4" i="2"/>
  <c r="V3" i="2"/>
  <c r="U2" i="2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" i="3"/>
  <c r="N1" i="2"/>
  <c r="K1" i="2"/>
  <c r="H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" i="2"/>
</calcChain>
</file>

<file path=xl/sharedStrings.xml><?xml version="1.0" encoding="utf-8"?>
<sst xmlns="http://schemas.openxmlformats.org/spreadsheetml/2006/main" count="3488" uniqueCount="328">
  <si>
    <t>Year</t>
  </si>
  <si>
    <t>Type</t>
  </si>
  <si>
    <t>Method</t>
  </si>
  <si>
    <t>Group</t>
  </si>
  <si>
    <t>Count</t>
  </si>
  <si>
    <t>ParNums</t>
  </si>
  <si>
    <t>avg</t>
  </si>
  <si>
    <t>Quantile70_Group</t>
  </si>
  <si>
    <t>High importance &amp; High interaction</t>
  </si>
  <si>
    <t>High importance &amp; Low interaction</t>
  </si>
  <si>
    <t>max</t>
  </si>
  <si>
    <t>min</t>
  </si>
  <si>
    <t>par74</t>
  </si>
  <si>
    <t>par77</t>
  </si>
  <si>
    <t>par83</t>
  </si>
  <si>
    <t>par84</t>
  </si>
  <si>
    <t>par89</t>
  </si>
  <si>
    <t>par90</t>
  </si>
  <si>
    <t>par92</t>
  </si>
  <si>
    <t>par95</t>
  </si>
  <si>
    <t>par106</t>
  </si>
  <si>
    <t>par107</t>
  </si>
  <si>
    <t>par110</t>
  </si>
  <si>
    <t>par116</t>
  </si>
  <si>
    <t>par118</t>
  </si>
  <si>
    <t>par119</t>
  </si>
  <si>
    <t>par172</t>
  </si>
  <si>
    <t>par181</t>
  </si>
  <si>
    <t>par193</t>
  </si>
  <si>
    <t>par215</t>
  </si>
  <si>
    <t>par218</t>
  </si>
  <si>
    <t>par220</t>
  </si>
  <si>
    <t>par221</t>
  </si>
  <si>
    <t>par223</t>
  </si>
  <si>
    <t>par225</t>
  </si>
  <si>
    <t>par86</t>
  </si>
  <si>
    <t>par113</t>
  </si>
  <si>
    <t>par157</t>
  </si>
  <si>
    <t>par160</t>
  </si>
  <si>
    <t>par163</t>
  </si>
  <si>
    <t>par178</t>
  </si>
  <si>
    <t>par182</t>
  </si>
  <si>
    <t>par187</t>
  </si>
  <si>
    <t>par72</t>
  </si>
  <si>
    <t>par94</t>
  </si>
  <si>
    <t>par100</t>
  </si>
  <si>
    <t>par112</t>
  </si>
  <si>
    <t>par219</t>
  </si>
  <si>
    <t>par224</t>
  </si>
  <si>
    <t>par166</t>
  </si>
  <si>
    <t>par102</t>
  </si>
  <si>
    <t>par47</t>
  </si>
  <si>
    <t>par101</t>
  </si>
  <si>
    <t>par175</t>
  </si>
  <si>
    <t>par190</t>
  </si>
  <si>
    <t>par213</t>
  </si>
  <si>
    <t>par214</t>
  </si>
  <si>
    <t>par216</t>
  </si>
  <si>
    <t>par114</t>
  </si>
  <si>
    <t>par194</t>
  </si>
  <si>
    <t>par222</t>
  </si>
  <si>
    <t>par184</t>
  </si>
  <si>
    <t>par179</t>
  </si>
  <si>
    <t>par191</t>
  </si>
  <si>
    <t>par98</t>
  </si>
  <si>
    <t>par104</t>
  </si>
  <si>
    <t>par173</t>
  </si>
  <si>
    <t>Par1</t>
  </si>
  <si>
    <t>Par2</t>
  </si>
  <si>
    <t>Par3</t>
  </si>
  <si>
    <t>Par4</t>
  </si>
  <si>
    <t>Par5</t>
  </si>
  <si>
    <t>Par6</t>
  </si>
  <si>
    <t>Par7</t>
  </si>
  <si>
    <t>Par8</t>
  </si>
  <si>
    <t>Par9</t>
  </si>
  <si>
    <t>Par10</t>
  </si>
  <si>
    <t>Par11</t>
  </si>
  <si>
    <t>Par12</t>
  </si>
  <si>
    <t>Par13</t>
  </si>
  <si>
    <t>Par14</t>
  </si>
  <si>
    <t>Par15</t>
  </si>
  <si>
    <t>Par16</t>
  </si>
  <si>
    <t>Par17</t>
  </si>
  <si>
    <t>Par18</t>
  </si>
  <si>
    <t>Par19</t>
  </si>
  <si>
    <t>Par20</t>
  </si>
  <si>
    <t>Par21</t>
  </si>
  <si>
    <t>Par22</t>
  </si>
  <si>
    <t>Par23</t>
  </si>
  <si>
    <t>Par24</t>
  </si>
  <si>
    <t>Par25</t>
  </si>
  <si>
    <t>Par26</t>
  </si>
  <si>
    <t>Par27</t>
  </si>
  <si>
    <t>Par28</t>
  </si>
  <si>
    <t>Par29</t>
  </si>
  <si>
    <t>Par30</t>
  </si>
  <si>
    <t>Par31</t>
  </si>
  <si>
    <t>Par32</t>
  </si>
  <si>
    <t>Par33</t>
  </si>
  <si>
    <t>Par34</t>
  </si>
  <si>
    <t>Par35</t>
  </si>
  <si>
    <t>Par36</t>
  </si>
  <si>
    <t>Par37</t>
  </si>
  <si>
    <t>Par38</t>
  </si>
  <si>
    <t>Par39</t>
  </si>
  <si>
    <t>Par40</t>
  </si>
  <si>
    <t>Par41</t>
  </si>
  <si>
    <t>Par42</t>
  </si>
  <si>
    <t>Par43</t>
  </si>
  <si>
    <t>Par44</t>
  </si>
  <si>
    <t>Par45</t>
  </si>
  <si>
    <t>Par46</t>
  </si>
  <si>
    <t>Par47</t>
  </si>
  <si>
    <t>Par48</t>
  </si>
  <si>
    <t>Par49</t>
  </si>
  <si>
    <t>Par50</t>
  </si>
  <si>
    <t>Par51</t>
  </si>
  <si>
    <t>Par52</t>
  </si>
  <si>
    <t>Par53</t>
  </si>
  <si>
    <t>Par54</t>
  </si>
  <si>
    <t>Par55</t>
  </si>
  <si>
    <t>Par56</t>
  </si>
  <si>
    <t>Par57</t>
  </si>
  <si>
    <t>Par58</t>
  </si>
  <si>
    <t>Par59</t>
  </si>
  <si>
    <t>Par60</t>
  </si>
  <si>
    <t>Par61</t>
  </si>
  <si>
    <t>Par62</t>
  </si>
  <si>
    <t>Par63</t>
  </si>
  <si>
    <t>Par64</t>
  </si>
  <si>
    <t>Par65</t>
  </si>
  <si>
    <t>Par66</t>
  </si>
  <si>
    <t>Par67</t>
  </si>
  <si>
    <t>Par68</t>
  </si>
  <si>
    <t>Par69</t>
  </si>
  <si>
    <t>Par70</t>
  </si>
  <si>
    <t>Par71</t>
  </si>
  <si>
    <t>Par72</t>
  </si>
  <si>
    <t>Par73</t>
  </si>
  <si>
    <t>Par74</t>
  </si>
  <si>
    <t>Par75</t>
  </si>
  <si>
    <t>Par76</t>
  </si>
  <si>
    <t>Par77</t>
  </si>
  <si>
    <t>Par78</t>
  </si>
  <si>
    <t>Par79</t>
  </si>
  <si>
    <t>Par80</t>
  </si>
  <si>
    <t>Par81</t>
  </si>
  <si>
    <t>Par82</t>
  </si>
  <si>
    <t>Par83</t>
  </si>
  <si>
    <t>Par84</t>
  </si>
  <si>
    <t>Par85</t>
  </si>
  <si>
    <t>Par86</t>
  </si>
  <si>
    <t>Par87</t>
  </si>
  <si>
    <t>Par88</t>
  </si>
  <si>
    <t>Par89</t>
  </si>
  <si>
    <t>Par90</t>
  </si>
  <si>
    <t>Par91</t>
  </si>
  <si>
    <t>Par92</t>
  </si>
  <si>
    <t>Par93</t>
  </si>
  <si>
    <t>Par94</t>
  </si>
  <si>
    <t>Par95</t>
  </si>
  <si>
    <t>Par96</t>
  </si>
  <si>
    <t>Par97</t>
  </si>
  <si>
    <t>Par98</t>
  </si>
  <si>
    <t>Par99</t>
  </si>
  <si>
    <t>Par100</t>
  </si>
  <si>
    <t>Par101</t>
  </si>
  <si>
    <t>Par102</t>
  </si>
  <si>
    <t>Par103</t>
  </si>
  <si>
    <t>Par104</t>
  </si>
  <si>
    <t>Par105</t>
  </si>
  <si>
    <t>Par106</t>
  </si>
  <si>
    <t>Par107</t>
  </si>
  <si>
    <t>Par108</t>
  </si>
  <si>
    <t>Par109</t>
  </si>
  <si>
    <t>Par110</t>
  </si>
  <si>
    <t>Par111</t>
  </si>
  <si>
    <t>Par112</t>
  </si>
  <si>
    <t>Par113</t>
  </si>
  <si>
    <t>Par114</t>
  </si>
  <si>
    <t>Par115</t>
  </si>
  <si>
    <t>Par116</t>
  </si>
  <si>
    <t>Par117</t>
  </si>
  <si>
    <t>Par118</t>
  </si>
  <si>
    <t>Par119</t>
  </si>
  <si>
    <t>Par120</t>
  </si>
  <si>
    <t>Par121</t>
  </si>
  <si>
    <t>Par122</t>
  </si>
  <si>
    <t>Par123</t>
  </si>
  <si>
    <t>Par124</t>
  </si>
  <si>
    <t>Par125</t>
  </si>
  <si>
    <t>Par126</t>
  </si>
  <si>
    <t>Par127</t>
  </si>
  <si>
    <t>Par128</t>
  </si>
  <si>
    <t>Par129</t>
  </si>
  <si>
    <t>Par130</t>
  </si>
  <si>
    <t>Par131</t>
  </si>
  <si>
    <t>Par132</t>
  </si>
  <si>
    <t>Par133</t>
  </si>
  <si>
    <t>Par134</t>
  </si>
  <si>
    <t>Par135</t>
  </si>
  <si>
    <t>Par136</t>
  </si>
  <si>
    <t>Par137</t>
  </si>
  <si>
    <t>Par138</t>
  </si>
  <si>
    <t>Par139</t>
  </si>
  <si>
    <t>Par140</t>
  </si>
  <si>
    <t>Par141</t>
  </si>
  <si>
    <t>Par142</t>
  </si>
  <si>
    <t>Par143</t>
  </si>
  <si>
    <t>Par144</t>
  </si>
  <si>
    <t>Par145</t>
  </si>
  <si>
    <t>Par146</t>
  </si>
  <si>
    <t>Par147</t>
  </si>
  <si>
    <t>Par148</t>
  </si>
  <si>
    <t>Par149</t>
  </si>
  <si>
    <t>Par150</t>
  </si>
  <si>
    <t>Par151</t>
  </si>
  <si>
    <t>Par152</t>
  </si>
  <si>
    <t>Par153</t>
  </si>
  <si>
    <t>Par154</t>
  </si>
  <si>
    <t>Par155</t>
  </si>
  <si>
    <t>Par156</t>
  </si>
  <si>
    <t>Par157</t>
  </si>
  <si>
    <t>Par158</t>
  </si>
  <si>
    <t>Par159</t>
  </si>
  <si>
    <t>Par160</t>
  </si>
  <si>
    <t>Par161</t>
  </si>
  <si>
    <t>Par162</t>
  </si>
  <si>
    <t>Par163</t>
  </si>
  <si>
    <t>Par164</t>
  </si>
  <si>
    <t>Par165</t>
  </si>
  <si>
    <t>Par166</t>
  </si>
  <si>
    <t>Par167</t>
  </si>
  <si>
    <t>Par168</t>
  </si>
  <si>
    <t>Par169</t>
  </si>
  <si>
    <t>Par170</t>
  </si>
  <si>
    <t>Par171</t>
  </si>
  <si>
    <t>Par172</t>
  </si>
  <si>
    <t>Par173</t>
  </si>
  <si>
    <t>Par174</t>
  </si>
  <si>
    <t>Par175</t>
  </si>
  <si>
    <t>Par176</t>
  </si>
  <si>
    <t>Par177</t>
  </si>
  <si>
    <t>Par178</t>
  </si>
  <si>
    <t>Par179</t>
  </si>
  <si>
    <t>Par180</t>
  </si>
  <si>
    <t>Par181</t>
  </si>
  <si>
    <t>Par182</t>
  </si>
  <si>
    <t>Par183</t>
  </si>
  <si>
    <t>Par184</t>
  </si>
  <si>
    <t>Par185</t>
  </si>
  <si>
    <t>Par186</t>
  </si>
  <si>
    <t>Par187</t>
  </si>
  <si>
    <t>Par188</t>
  </si>
  <si>
    <t>Par189</t>
  </si>
  <si>
    <t>Par190</t>
  </si>
  <si>
    <t>Par191</t>
  </si>
  <si>
    <t>Par192</t>
  </si>
  <si>
    <t>Par193</t>
  </si>
  <si>
    <t>Par194</t>
  </si>
  <si>
    <t>Par195</t>
  </si>
  <si>
    <t>Par196</t>
  </si>
  <si>
    <t>Par197</t>
  </si>
  <si>
    <t>Par198</t>
  </si>
  <si>
    <t>Par199</t>
  </si>
  <si>
    <t>Par200</t>
  </si>
  <si>
    <t>Par201</t>
  </si>
  <si>
    <t>Par202</t>
  </si>
  <si>
    <t>Par203</t>
  </si>
  <si>
    <t>Par204</t>
  </si>
  <si>
    <t>Par205</t>
  </si>
  <si>
    <t>Par206</t>
  </si>
  <si>
    <t>Par207</t>
  </si>
  <si>
    <t>Par208</t>
  </si>
  <si>
    <t>Par209</t>
  </si>
  <si>
    <t>Par210</t>
  </si>
  <si>
    <t>Par211</t>
  </si>
  <si>
    <t>Par212</t>
  </si>
  <si>
    <t>Par213</t>
  </si>
  <si>
    <t>Par214</t>
  </si>
  <si>
    <t>Par215</t>
  </si>
  <si>
    <t>Par216</t>
  </si>
  <si>
    <t>Par217</t>
  </si>
  <si>
    <t>Par218</t>
  </si>
  <si>
    <t>Par219</t>
  </si>
  <si>
    <t>Par220</t>
  </si>
  <si>
    <t>Par221</t>
  </si>
  <si>
    <t>Par222</t>
  </si>
  <si>
    <t>Par223</t>
  </si>
  <si>
    <t>Par224</t>
  </si>
  <si>
    <t>Par225</t>
  </si>
  <si>
    <t>Par226</t>
  </si>
  <si>
    <t>Par227</t>
  </si>
  <si>
    <t>Par228</t>
  </si>
  <si>
    <t>Par229</t>
  </si>
  <si>
    <t>Par230</t>
  </si>
  <si>
    <t>Par231</t>
  </si>
  <si>
    <t>Par232</t>
  </si>
  <si>
    <t>Par233</t>
  </si>
  <si>
    <t>Par234</t>
  </si>
  <si>
    <t>Par235</t>
  </si>
  <si>
    <t>Par236</t>
  </si>
  <si>
    <t>ParNum</t>
  </si>
  <si>
    <t>RCHRG_DP</t>
  </si>
  <si>
    <t>GW_REVAP</t>
  </si>
  <si>
    <t>GW_DELAY</t>
  </si>
  <si>
    <t>GWQMN</t>
  </si>
  <si>
    <t>ESCO</t>
  </si>
  <si>
    <t>EPCO</t>
  </si>
  <si>
    <t>CN2</t>
  </si>
  <si>
    <t>20min</t>
  </si>
  <si>
    <t>1simulation</t>
  </si>
  <si>
    <t>1hour 3 simulation</t>
  </si>
  <si>
    <t>24 hour 72</t>
  </si>
  <si>
    <t>1computer can do 10 parallel</t>
  </si>
  <si>
    <t>24hour 720 simulation</t>
  </si>
  <si>
    <t>werl01</t>
  </si>
  <si>
    <t>5 parallel</t>
  </si>
  <si>
    <t>werl03</t>
  </si>
  <si>
    <t>10 parallel</t>
  </si>
  <si>
    <t>office desktop</t>
  </si>
  <si>
    <t>10parallel</t>
  </si>
  <si>
    <t>my home</t>
  </si>
  <si>
    <t>other pc</t>
  </si>
  <si>
    <t>45 simulation at one time</t>
  </si>
  <si>
    <t>simulation per day</t>
  </si>
  <si>
    <t>10days to run 28672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</si>
</sst>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"/>
  <sheetViews>
    <sheetView topLeftCell="A13" workbookViewId="0">
      <selection activeCell="D26" sqref="D26"/>
    </sheetView>
  </sheetViews>
  <sheetFormatPr defaultRowHeight="15" x14ac:dyDescent="0.25"/>
  <cols>
    <col min="3" max="3" width="17.42578125" bestFit="1" customWidth="1"/>
    <col min="4" max="4" width="32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1" x14ac:dyDescent="0.25">
      <c r="A2">
        <v>2011</v>
      </c>
      <c r="B2" t="s">
        <v>6</v>
      </c>
      <c r="C2" t="s">
        <v>7</v>
      </c>
      <c r="D2" t="s">
        <v>8</v>
      </c>
      <c r="E2">
        <v>23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</row>
    <row r="3" spans="1:31" x14ac:dyDescent="0.25">
      <c r="A3">
        <v>2011</v>
      </c>
      <c r="B3" t="s">
        <v>6</v>
      </c>
      <c r="C3" t="s">
        <v>7</v>
      </c>
      <c r="D3" t="s">
        <v>9</v>
      </c>
      <c r="E3">
        <v>8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</row>
    <row r="4" spans="1:31" x14ac:dyDescent="0.25">
      <c r="A4">
        <v>2012</v>
      </c>
      <c r="B4" t="s">
        <v>6</v>
      </c>
      <c r="C4" t="s">
        <v>7</v>
      </c>
      <c r="D4" t="s">
        <v>8</v>
      </c>
      <c r="E4">
        <v>26</v>
      </c>
      <c r="F4" t="s">
        <v>43</v>
      </c>
      <c r="G4" t="s">
        <v>13</v>
      </c>
      <c r="H4" t="s">
        <v>14</v>
      </c>
      <c r="I4" t="s">
        <v>16</v>
      </c>
      <c r="J4" t="s">
        <v>17</v>
      </c>
      <c r="K4" t="s">
        <v>18</v>
      </c>
      <c r="L4" t="s">
        <v>44</v>
      </c>
      <c r="M4" t="s">
        <v>19</v>
      </c>
      <c r="N4" t="s">
        <v>45</v>
      </c>
      <c r="O4" t="s">
        <v>20</v>
      </c>
      <c r="P4" t="s">
        <v>21</v>
      </c>
      <c r="Q4" t="s">
        <v>46</v>
      </c>
      <c r="R4" t="s">
        <v>36</v>
      </c>
      <c r="S4" t="s">
        <v>24</v>
      </c>
      <c r="T4" t="s">
        <v>25</v>
      </c>
      <c r="U4" t="s">
        <v>39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47</v>
      </c>
      <c r="AB4" t="s">
        <v>31</v>
      </c>
      <c r="AC4" t="s">
        <v>32</v>
      </c>
      <c r="AD4" t="s">
        <v>48</v>
      </c>
      <c r="AE4" t="s">
        <v>34</v>
      </c>
    </row>
    <row r="5" spans="1:31" x14ac:dyDescent="0.25">
      <c r="A5">
        <v>2012</v>
      </c>
      <c r="B5" t="s">
        <v>6</v>
      </c>
      <c r="C5" t="s">
        <v>7</v>
      </c>
      <c r="D5" t="s">
        <v>9</v>
      </c>
      <c r="E5">
        <v>6</v>
      </c>
      <c r="F5" t="s">
        <v>37</v>
      </c>
      <c r="G5" t="s">
        <v>38</v>
      </c>
      <c r="H5" t="s">
        <v>49</v>
      </c>
      <c r="I5" t="s">
        <v>40</v>
      </c>
      <c r="J5" t="s">
        <v>41</v>
      </c>
      <c r="K5" t="s">
        <v>42</v>
      </c>
    </row>
    <row r="6" spans="1:31" x14ac:dyDescent="0.25">
      <c r="A6">
        <v>2013</v>
      </c>
      <c r="B6" t="s">
        <v>6</v>
      </c>
      <c r="C6" t="s">
        <v>7</v>
      </c>
      <c r="D6" t="s">
        <v>8</v>
      </c>
      <c r="E6">
        <v>25</v>
      </c>
      <c r="F6" t="s">
        <v>43</v>
      </c>
      <c r="G6" t="s">
        <v>13</v>
      </c>
      <c r="H6" t="s">
        <v>14</v>
      </c>
      <c r="I6" t="s">
        <v>16</v>
      </c>
      <c r="J6" t="s">
        <v>17</v>
      </c>
      <c r="K6" t="s">
        <v>18</v>
      </c>
      <c r="L6" t="s">
        <v>44</v>
      </c>
      <c r="M6" t="s">
        <v>19</v>
      </c>
      <c r="N6" t="s">
        <v>50</v>
      </c>
      <c r="O6" t="s">
        <v>20</v>
      </c>
      <c r="P6" t="s">
        <v>21</v>
      </c>
      <c r="Q6" t="s">
        <v>46</v>
      </c>
      <c r="R6" t="s">
        <v>36</v>
      </c>
      <c r="S6" t="s">
        <v>23</v>
      </c>
      <c r="T6" t="s">
        <v>24</v>
      </c>
      <c r="U6" t="s">
        <v>25</v>
      </c>
      <c r="V6" t="s">
        <v>26</v>
      </c>
      <c r="W6" t="s">
        <v>40</v>
      </c>
      <c r="X6" t="s">
        <v>27</v>
      </c>
      <c r="Y6" t="s">
        <v>28</v>
      </c>
      <c r="Z6" t="s">
        <v>30</v>
      </c>
      <c r="AA6" t="s">
        <v>47</v>
      </c>
      <c r="AB6" t="s">
        <v>31</v>
      </c>
      <c r="AC6" t="s">
        <v>32</v>
      </c>
      <c r="AD6" t="s">
        <v>34</v>
      </c>
    </row>
    <row r="7" spans="1:31" x14ac:dyDescent="0.25">
      <c r="A7">
        <v>2013</v>
      </c>
      <c r="B7" t="s">
        <v>6</v>
      </c>
      <c r="C7" t="s">
        <v>7</v>
      </c>
      <c r="D7" t="s">
        <v>9</v>
      </c>
      <c r="E7">
        <v>7</v>
      </c>
      <c r="F7" t="s">
        <v>51</v>
      </c>
      <c r="G7" t="s">
        <v>52</v>
      </c>
      <c r="H7" t="s">
        <v>38</v>
      </c>
      <c r="I7" t="s">
        <v>39</v>
      </c>
      <c r="J7" t="s">
        <v>53</v>
      </c>
      <c r="K7" t="s">
        <v>42</v>
      </c>
      <c r="L7" t="s">
        <v>54</v>
      </c>
    </row>
    <row r="8" spans="1:31" x14ac:dyDescent="0.25">
      <c r="A8">
        <v>2014</v>
      </c>
      <c r="B8" t="s">
        <v>6</v>
      </c>
      <c r="C8" t="s">
        <v>7</v>
      </c>
      <c r="D8" t="s">
        <v>8</v>
      </c>
      <c r="E8">
        <v>24</v>
      </c>
      <c r="F8" t="s">
        <v>13</v>
      </c>
      <c r="G8" t="s">
        <v>16</v>
      </c>
      <c r="H8" t="s">
        <v>17</v>
      </c>
      <c r="I8" t="s">
        <v>18</v>
      </c>
      <c r="J8" t="s">
        <v>19</v>
      </c>
      <c r="K8" t="s">
        <v>21</v>
      </c>
      <c r="L8" t="s">
        <v>24</v>
      </c>
      <c r="M8" t="s">
        <v>25</v>
      </c>
      <c r="N8" t="s">
        <v>37</v>
      </c>
      <c r="O8" t="s">
        <v>39</v>
      </c>
      <c r="P8" t="s">
        <v>26</v>
      </c>
      <c r="Q8" t="s">
        <v>27</v>
      </c>
      <c r="R8" t="s">
        <v>28</v>
      </c>
      <c r="S8" t="s">
        <v>55</v>
      </c>
      <c r="T8" t="s">
        <v>56</v>
      </c>
      <c r="U8" t="s">
        <v>29</v>
      </c>
      <c r="V8" t="s">
        <v>57</v>
      </c>
      <c r="W8" t="s">
        <v>30</v>
      </c>
      <c r="X8" t="s">
        <v>47</v>
      </c>
      <c r="Y8" t="s">
        <v>31</v>
      </c>
      <c r="Z8" t="s">
        <v>32</v>
      </c>
      <c r="AA8" t="s">
        <v>33</v>
      </c>
      <c r="AB8" t="s">
        <v>48</v>
      </c>
      <c r="AC8" t="s">
        <v>34</v>
      </c>
    </row>
    <row r="9" spans="1:31" x14ac:dyDescent="0.25">
      <c r="A9">
        <v>2014</v>
      </c>
      <c r="B9" t="s">
        <v>6</v>
      </c>
      <c r="C9" t="s">
        <v>7</v>
      </c>
      <c r="D9" t="s">
        <v>9</v>
      </c>
      <c r="E9">
        <v>8</v>
      </c>
      <c r="F9" t="s">
        <v>14</v>
      </c>
      <c r="G9" t="s">
        <v>23</v>
      </c>
      <c r="H9" t="s">
        <v>38</v>
      </c>
      <c r="I9" t="s">
        <v>49</v>
      </c>
      <c r="J9" t="s">
        <v>53</v>
      </c>
      <c r="K9" t="s">
        <v>40</v>
      </c>
      <c r="L9" t="s">
        <v>42</v>
      </c>
      <c r="M9" t="s">
        <v>54</v>
      </c>
    </row>
    <row r="10" spans="1:31" x14ac:dyDescent="0.25">
      <c r="A10">
        <v>2015</v>
      </c>
      <c r="B10" t="s">
        <v>6</v>
      </c>
      <c r="C10" t="s">
        <v>7</v>
      </c>
      <c r="D10" t="s">
        <v>8</v>
      </c>
      <c r="E10">
        <v>25</v>
      </c>
      <c r="F10" t="s">
        <v>43</v>
      </c>
      <c r="G10" t="s">
        <v>12</v>
      </c>
      <c r="H10" t="s">
        <v>13</v>
      </c>
      <c r="I10" t="s">
        <v>14</v>
      </c>
      <c r="J10" t="s">
        <v>16</v>
      </c>
      <c r="K10" t="s">
        <v>17</v>
      </c>
      <c r="L10" t="s">
        <v>44</v>
      </c>
      <c r="M10" t="s">
        <v>19</v>
      </c>
      <c r="N10" t="s">
        <v>50</v>
      </c>
      <c r="O10" t="s">
        <v>20</v>
      </c>
      <c r="P10" t="s">
        <v>21</v>
      </c>
      <c r="Q10" t="s">
        <v>46</v>
      </c>
      <c r="R10" t="s">
        <v>36</v>
      </c>
      <c r="S10" t="s">
        <v>23</v>
      </c>
      <c r="T10" t="s">
        <v>24</v>
      </c>
      <c r="U10" t="s">
        <v>25</v>
      </c>
      <c r="V10" t="s">
        <v>53</v>
      </c>
      <c r="W10" t="s">
        <v>40</v>
      </c>
      <c r="X10" t="s">
        <v>27</v>
      </c>
      <c r="Y10" t="s">
        <v>28</v>
      </c>
      <c r="Z10" t="s">
        <v>30</v>
      </c>
      <c r="AA10" t="s">
        <v>47</v>
      </c>
      <c r="AB10" t="s">
        <v>31</v>
      </c>
      <c r="AC10" t="s">
        <v>32</v>
      </c>
      <c r="AD10" t="s">
        <v>34</v>
      </c>
    </row>
    <row r="11" spans="1:31" x14ac:dyDescent="0.25">
      <c r="A11">
        <v>2015</v>
      </c>
      <c r="B11" t="s">
        <v>6</v>
      </c>
      <c r="C11" t="s">
        <v>7</v>
      </c>
      <c r="D11" t="s">
        <v>9</v>
      </c>
      <c r="E11">
        <v>7</v>
      </c>
      <c r="F11" t="s">
        <v>18</v>
      </c>
      <c r="G11" t="s">
        <v>37</v>
      </c>
      <c r="H11" t="s">
        <v>38</v>
      </c>
      <c r="I11" t="s">
        <v>39</v>
      </c>
      <c r="J11" t="s">
        <v>49</v>
      </c>
      <c r="K11" t="s">
        <v>26</v>
      </c>
      <c r="L11" t="s">
        <v>42</v>
      </c>
    </row>
    <row r="12" spans="1:31" x14ac:dyDescent="0.25">
      <c r="A12">
        <v>2016</v>
      </c>
      <c r="B12" t="s">
        <v>6</v>
      </c>
      <c r="C12" t="s">
        <v>7</v>
      </c>
      <c r="D12" t="s">
        <v>8</v>
      </c>
      <c r="E12">
        <v>24</v>
      </c>
      <c r="F12" t="s">
        <v>43</v>
      </c>
      <c r="G12" t="s">
        <v>13</v>
      </c>
      <c r="H12" t="s">
        <v>14</v>
      </c>
      <c r="I12" t="s">
        <v>16</v>
      </c>
      <c r="J12" t="s">
        <v>17</v>
      </c>
      <c r="K12" t="s">
        <v>18</v>
      </c>
      <c r="L12" t="s">
        <v>44</v>
      </c>
      <c r="M12" t="s">
        <v>19</v>
      </c>
      <c r="N12" t="s">
        <v>21</v>
      </c>
      <c r="O12" t="s">
        <v>46</v>
      </c>
      <c r="P12" t="s">
        <v>24</v>
      </c>
      <c r="Q12" t="s">
        <v>25</v>
      </c>
      <c r="R12" t="s">
        <v>39</v>
      </c>
      <c r="S12" t="s">
        <v>26</v>
      </c>
      <c r="T12" t="s">
        <v>27</v>
      </c>
      <c r="U12" t="s">
        <v>28</v>
      </c>
      <c r="V12" t="s">
        <v>29</v>
      </c>
      <c r="W12" t="s">
        <v>30</v>
      </c>
      <c r="X12" t="s">
        <v>47</v>
      </c>
      <c r="Y12" t="s">
        <v>31</v>
      </c>
      <c r="Z12" t="s">
        <v>32</v>
      </c>
      <c r="AA12" t="s">
        <v>33</v>
      </c>
      <c r="AB12" t="s">
        <v>48</v>
      </c>
      <c r="AC12" t="s">
        <v>34</v>
      </c>
    </row>
    <row r="13" spans="1:31" x14ac:dyDescent="0.25">
      <c r="A13">
        <v>2016</v>
      </c>
      <c r="B13" t="s">
        <v>6</v>
      </c>
      <c r="C13" t="s">
        <v>7</v>
      </c>
      <c r="D13" t="s">
        <v>9</v>
      </c>
      <c r="E13">
        <v>8</v>
      </c>
      <c r="F13" t="s">
        <v>36</v>
      </c>
      <c r="G13" t="s">
        <v>37</v>
      </c>
      <c r="H13" t="s">
        <v>38</v>
      </c>
      <c r="I13" t="s">
        <v>49</v>
      </c>
      <c r="J13" t="s">
        <v>53</v>
      </c>
      <c r="K13" t="s">
        <v>40</v>
      </c>
      <c r="L13" t="s">
        <v>42</v>
      </c>
      <c r="M13" t="s">
        <v>54</v>
      </c>
    </row>
    <row r="14" spans="1:31" x14ac:dyDescent="0.25">
      <c r="A14">
        <v>2017</v>
      </c>
      <c r="B14" t="s">
        <v>6</v>
      </c>
      <c r="C14" t="s">
        <v>7</v>
      </c>
      <c r="D14" t="s">
        <v>8</v>
      </c>
      <c r="E14">
        <v>25</v>
      </c>
      <c r="F14" t="s">
        <v>43</v>
      </c>
      <c r="G14" t="s">
        <v>12</v>
      </c>
      <c r="H14" t="s">
        <v>13</v>
      </c>
      <c r="I14" t="s">
        <v>14</v>
      </c>
      <c r="J14" t="s">
        <v>16</v>
      </c>
      <c r="K14" t="s">
        <v>17</v>
      </c>
      <c r="L14" t="s">
        <v>18</v>
      </c>
      <c r="M14" t="s">
        <v>44</v>
      </c>
      <c r="N14" t="s">
        <v>19</v>
      </c>
      <c r="O14" t="s">
        <v>50</v>
      </c>
      <c r="P14" t="s">
        <v>20</v>
      </c>
      <c r="Q14" t="s">
        <v>21</v>
      </c>
      <c r="R14" t="s">
        <v>46</v>
      </c>
      <c r="S14" t="s">
        <v>24</v>
      </c>
      <c r="T14" t="s">
        <v>25</v>
      </c>
      <c r="U14" t="s">
        <v>26</v>
      </c>
      <c r="V14" t="s">
        <v>27</v>
      </c>
      <c r="W14" t="s">
        <v>42</v>
      </c>
      <c r="X14" t="s">
        <v>28</v>
      </c>
      <c r="Y14" t="s">
        <v>29</v>
      </c>
      <c r="Z14" t="s">
        <v>30</v>
      </c>
      <c r="AA14" t="s">
        <v>31</v>
      </c>
      <c r="AB14" t="s">
        <v>32</v>
      </c>
      <c r="AC14" t="s">
        <v>48</v>
      </c>
      <c r="AD14" t="s">
        <v>34</v>
      </c>
    </row>
    <row r="15" spans="1:31" x14ac:dyDescent="0.25">
      <c r="A15">
        <v>2017</v>
      </c>
      <c r="B15" t="s">
        <v>6</v>
      </c>
      <c r="C15" t="s">
        <v>7</v>
      </c>
      <c r="D15" t="s">
        <v>9</v>
      </c>
      <c r="E15">
        <v>8</v>
      </c>
      <c r="F15" t="s">
        <v>23</v>
      </c>
      <c r="G15" t="s">
        <v>37</v>
      </c>
      <c r="H15" t="s">
        <v>38</v>
      </c>
      <c r="I15" t="s">
        <v>39</v>
      </c>
      <c r="J15" t="s">
        <v>49</v>
      </c>
      <c r="K15" t="s">
        <v>53</v>
      </c>
      <c r="L15" t="s">
        <v>40</v>
      </c>
      <c r="M15" t="s">
        <v>54</v>
      </c>
    </row>
    <row r="16" spans="1:31" x14ac:dyDescent="0.25">
      <c r="A16">
        <v>2018</v>
      </c>
      <c r="B16" t="s">
        <v>6</v>
      </c>
      <c r="C16" t="s">
        <v>7</v>
      </c>
      <c r="D16" t="s">
        <v>8</v>
      </c>
      <c r="E16">
        <v>26</v>
      </c>
      <c r="F16" t="s">
        <v>43</v>
      </c>
      <c r="G16" t="s">
        <v>13</v>
      </c>
      <c r="H16" t="s">
        <v>14</v>
      </c>
      <c r="I16" t="s">
        <v>16</v>
      </c>
      <c r="J16" t="s">
        <v>17</v>
      </c>
      <c r="K16" t="s">
        <v>18</v>
      </c>
      <c r="L16" t="s">
        <v>44</v>
      </c>
      <c r="M16" t="s">
        <v>19</v>
      </c>
      <c r="N16" t="s">
        <v>50</v>
      </c>
      <c r="O16" t="s">
        <v>20</v>
      </c>
      <c r="P16" t="s">
        <v>21</v>
      </c>
      <c r="Q16" t="s">
        <v>46</v>
      </c>
      <c r="R16" t="s">
        <v>58</v>
      </c>
      <c r="S16" t="s">
        <v>24</v>
      </c>
      <c r="T16" t="s">
        <v>25</v>
      </c>
      <c r="U16" t="s">
        <v>26</v>
      </c>
      <c r="V16" t="s">
        <v>40</v>
      </c>
      <c r="W16" t="s">
        <v>27</v>
      </c>
      <c r="X16" t="s">
        <v>42</v>
      </c>
      <c r="Y16" t="s">
        <v>28</v>
      </c>
      <c r="Z16" t="s">
        <v>29</v>
      </c>
      <c r="AA16" t="s">
        <v>30</v>
      </c>
      <c r="AB16" t="s">
        <v>31</v>
      </c>
      <c r="AC16" t="s">
        <v>32</v>
      </c>
      <c r="AD16" t="s">
        <v>48</v>
      </c>
      <c r="AE16" t="s">
        <v>34</v>
      </c>
    </row>
    <row r="17" spans="1:32" x14ac:dyDescent="0.25">
      <c r="A17">
        <v>2018</v>
      </c>
      <c r="B17" t="s">
        <v>6</v>
      </c>
      <c r="C17" t="s">
        <v>7</v>
      </c>
      <c r="D17" t="s">
        <v>9</v>
      </c>
      <c r="E17">
        <v>7</v>
      </c>
      <c r="F17" t="s">
        <v>37</v>
      </c>
      <c r="G17" t="s">
        <v>38</v>
      </c>
      <c r="H17" t="s">
        <v>39</v>
      </c>
      <c r="I17" t="s">
        <v>49</v>
      </c>
      <c r="J17" t="s">
        <v>53</v>
      </c>
      <c r="K17" t="s">
        <v>54</v>
      </c>
      <c r="L17" t="s">
        <v>47</v>
      </c>
    </row>
    <row r="18" spans="1:32" x14ac:dyDescent="0.25">
      <c r="A18">
        <v>2019</v>
      </c>
      <c r="B18" t="s">
        <v>6</v>
      </c>
      <c r="C18" t="s">
        <v>7</v>
      </c>
      <c r="D18" t="s">
        <v>8</v>
      </c>
      <c r="E18">
        <v>27</v>
      </c>
      <c r="F18" t="s">
        <v>43</v>
      </c>
      <c r="G18" t="s">
        <v>12</v>
      </c>
      <c r="H18" t="s">
        <v>13</v>
      </c>
      <c r="I18" t="s">
        <v>14</v>
      </c>
      <c r="J18" t="s">
        <v>35</v>
      </c>
      <c r="K18" t="s">
        <v>16</v>
      </c>
      <c r="L18" t="s">
        <v>17</v>
      </c>
      <c r="M18" t="s">
        <v>18</v>
      </c>
      <c r="N18" t="s">
        <v>44</v>
      </c>
      <c r="O18" t="s">
        <v>19</v>
      </c>
      <c r="P18" t="s">
        <v>50</v>
      </c>
      <c r="Q18" t="s">
        <v>20</v>
      </c>
      <c r="R18" t="s">
        <v>21</v>
      </c>
      <c r="S18" t="s">
        <v>22</v>
      </c>
      <c r="T18" t="s">
        <v>58</v>
      </c>
      <c r="U18" t="s">
        <v>23</v>
      </c>
      <c r="V18" t="s">
        <v>24</v>
      </c>
      <c r="W18" t="s">
        <v>25</v>
      </c>
      <c r="X18" t="s">
        <v>26</v>
      </c>
      <c r="Y18" t="s">
        <v>40</v>
      </c>
      <c r="Z18" t="s">
        <v>27</v>
      </c>
      <c r="AA18" t="s">
        <v>42</v>
      </c>
      <c r="AB18" t="s">
        <v>28</v>
      </c>
      <c r="AC18" t="s">
        <v>29</v>
      </c>
      <c r="AD18" t="s">
        <v>30</v>
      </c>
      <c r="AE18" t="s">
        <v>31</v>
      </c>
      <c r="AF18" t="s">
        <v>32</v>
      </c>
    </row>
    <row r="19" spans="1:32" x14ac:dyDescent="0.25">
      <c r="A19">
        <v>2019</v>
      </c>
      <c r="B19" t="s">
        <v>6</v>
      </c>
      <c r="C19" t="s">
        <v>7</v>
      </c>
      <c r="D19" t="s">
        <v>9</v>
      </c>
      <c r="E19">
        <v>6</v>
      </c>
      <c r="F19" t="s">
        <v>36</v>
      </c>
      <c r="G19" t="s">
        <v>39</v>
      </c>
      <c r="H19" t="s">
        <v>53</v>
      </c>
      <c r="I19" t="s">
        <v>41</v>
      </c>
      <c r="J19" t="s">
        <v>54</v>
      </c>
      <c r="K19" t="s">
        <v>47</v>
      </c>
    </row>
    <row r="20" spans="1:32" x14ac:dyDescent="0.25">
      <c r="A20">
        <v>2020</v>
      </c>
      <c r="B20" t="s">
        <v>6</v>
      </c>
      <c r="C20" t="s">
        <v>7</v>
      </c>
      <c r="D20" t="s">
        <v>8</v>
      </c>
      <c r="E20">
        <v>25</v>
      </c>
      <c r="F20" t="s">
        <v>12</v>
      </c>
      <c r="G20" t="s">
        <v>13</v>
      </c>
      <c r="H20" t="s">
        <v>16</v>
      </c>
      <c r="I20" t="s">
        <v>17</v>
      </c>
      <c r="J20" t="s">
        <v>18</v>
      </c>
      <c r="K20" t="s">
        <v>19</v>
      </c>
      <c r="L20" t="s">
        <v>21</v>
      </c>
      <c r="M20" t="s">
        <v>36</v>
      </c>
      <c r="N20" t="s">
        <v>58</v>
      </c>
      <c r="O20" t="s">
        <v>23</v>
      </c>
      <c r="P20" t="s">
        <v>24</v>
      </c>
      <c r="Q20" t="s">
        <v>25</v>
      </c>
      <c r="R20" t="s">
        <v>39</v>
      </c>
      <c r="S20" t="s">
        <v>26</v>
      </c>
      <c r="T20" t="s">
        <v>40</v>
      </c>
      <c r="U20" t="s">
        <v>27</v>
      </c>
      <c r="V20" t="s">
        <v>42</v>
      </c>
      <c r="W20" t="s">
        <v>28</v>
      </c>
      <c r="X20" t="s">
        <v>29</v>
      </c>
      <c r="Y20" t="s">
        <v>57</v>
      </c>
      <c r="Z20" t="s">
        <v>30</v>
      </c>
      <c r="AA20" t="s">
        <v>31</v>
      </c>
      <c r="AB20" t="s">
        <v>32</v>
      </c>
      <c r="AC20" t="s">
        <v>48</v>
      </c>
      <c r="AD20" t="s">
        <v>34</v>
      </c>
    </row>
    <row r="21" spans="1:32" x14ac:dyDescent="0.25">
      <c r="A21">
        <v>2020</v>
      </c>
      <c r="B21" t="s">
        <v>6</v>
      </c>
      <c r="C21" t="s">
        <v>7</v>
      </c>
      <c r="D21" t="s">
        <v>9</v>
      </c>
      <c r="E21">
        <v>7</v>
      </c>
      <c r="F21" t="s">
        <v>14</v>
      </c>
      <c r="G21" t="s">
        <v>35</v>
      </c>
      <c r="H21" t="s">
        <v>37</v>
      </c>
      <c r="I21" t="s">
        <v>38</v>
      </c>
      <c r="J21" t="s">
        <v>49</v>
      </c>
      <c r="K21" t="s">
        <v>41</v>
      </c>
      <c r="L21" t="s">
        <v>54</v>
      </c>
    </row>
    <row r="22" spans="1:32" x14ac:dyDescent="0.25">
      <c r="A22">
        <v>2011</v>
      </c>
      <c r="B22" t="s">
        <v>10</v>
      </c>
      <c r="C22" t="s">
        <v>7</v>
      </c>
      <c r="D22" t="s">
        <v>8</v>
      </c>
      <c r="E22">
        <v>27</v>
      </c>
      <c r="F22" t="s">
        <v>12</v>
      </c>
      <c r="G22" t="s">
        <v>13</v>
      </c>
      <c r="H22" t="s">
        <v>17</v>
      </c>
      <c r="I22" t="s">
        <v>18</v>
      </c>
      <c r="J22" t="s">
        <v>19</v>
      </c>
      <c r="K22" t="s">
        <v>23</v>
      </c>
      <c r="L22" t="s">
        <v>24</v>
      </c>
      <c r="M22" t="s">
        <v>25</v>
      </c>
      <c r="N22" t="s">
        <v>39</v>
      </c>
      <c r="O22" t="s">
        <v>26</v>
      </c>
      <c r="P22" t="s">
        <v>53</v>
      </c>
      <c r="Q22" t="s">
        <v>40</v>
      </c>
      <c r="R22" t="s">
        <v>27</v>
      </c>
      <c r="S22" t="s">
        <v>41</v>
      </c>
      <c r="T22" t="s">
        <v>42</v>
      </c>
      <c r="U22" t="s">
        <v>54</v>
      </c>
      <c r="V22" t="s">
        <v>28</v>
      </c>
      <c r="W22" t="s">
        <v>59</v>
      </c>
      <c r="X22" t="s">
        <v>29</v>
      </c>
      <c r="Y22" t="s">
        <v>30</v>
      </c>
      <c r="Z22" t="s">
        <v>47</v>
      </c>
      <c r="AA22" t="s">
        <v>31</v>
      </c>
      <c r="AB22" t="s">
        <v>32</v>
      </c>
      <c r="AC22" t="s">
        <v>60</v>
      </c>
      <c r="AD22" t="s">
        <v>33</v>
      </c>
      <c r="AE22" t="s">
        <v>48</v>
      </c>
      <c r="AF22" t="s">
        <v>34</v>
      </c>
    </row>
    <row r="23" spans="1:32" x14ac:dyDescent="0.25">
      <c r="A23">
        <v>2011</v>
      </c>
      <c r="B23" t="s">
        <v>10</v>
      </c>
      <c r="C23" t="s">
        <v>7</v>
      </c>
      <c r="D23" t="s">
        <v>9</v>
      </c>
      <c r="E23">
        <v>4</v>
      </c>
      <c r="F23" t="s">
        <v>37</v>
      </c>
      <c r="G23" t="s">
        <v>38</v>
      </c>
      <c r="H23" t="s">
        <v>49</v>
      </c>
      <c r="I23" t="s">
        <v>61</v>
      </c>
    </row>
    <row r="24" spans="1:32" x14ac:dyDescent="0.25">
      <c r="A24">
        <v>2012</v>
      </c>
      <c r="B24" t="s">
        <v>10</v>
      </c>
      <c r="C24" t="s">
        <v>7</v>
      </c>
      <c r="D24" t="s">
        <v>8</v>
      </c>
      <c r="E24">
        <v>22</v>
      </c>
      <c r="F24" t="s">
        <v>13</v>
      </c>
      <c r="G24" t="s">
        <v>17</v>
      </c>
      <c r="H24" t="s">
        <v>18</v>
      </c>
      <c r="I24" t="s">
        <v>44</v>
      </c>
      <c r="J24" t="s">
        <v>19</v>
      </c>
      <c r="K24" t="s">
        <v>24</v>
      </c>
      <c r="L24" t="s">
        <v>25</v>
      </c>
      <c r="M24" t="s">
        <v>39</v>
      </c>
      <c r="N24" t="s">
        <v>26</v>
      </c>
      <c r="O24" t="s">
        <v>40</v>
      </c>
      <c r="P24" t="s">
        <v>27</v>
      </c>
      <c r="Q24" t="s">
        <v>41</v>
      </c>
      <c r="R24" t="s">
        <v>28</v>
      </c>
      <c r="S24" t="s">
        <v>55</v>
      </c>
      <c r="T24" t="s">
        <v>30</v>
      </c>
      <c r="U24" t="s">
        <v>47</v>
      </c>
      <c r="V24" t="s">
        <v>31</v>
      </c>
      <c r="W24" t="s">
        <v>32</v>
      </c>
      <c r="X24" t="s">
        <v>60</v>
      </c>
      <c r="Y24" t="s">
        <v>33</v>
      </c>
      <c r="Z24" t="s">
        <v>48</v>
      </c>
      <c r="AA24" t="s">
        <v>34</v>
      </c>
    </row>
    <row r="25" spans="1:32" x14ac:dyDescent="0.25">
      <c r="A25">
        <v>2012</v>
      </c>
      <c r="B25" t="s">
        <v>10</v>
      </c>
      <c r="C25" t="s">
        <v>7</v>
      </c>
      <c r="D25" t="s">
        <v>9</v>
      </c>
      <c r="E25">
        <v>7</v>
      </c>
      <c r="F25" t="s">
        <v>12</v>
      </c>
      <c r="G25" t="s">
        <v>37</v>
      </c>
      <c r="H25" t="s">
        <v>42</v>
      </c>
      <c r="I25" t="s">
        <v>54</v>
      </c>
      <c r="J25" t="s">
        <v>56</v>
      </c>
      <c r="K25" t="s">
        <v>29</v>
      </c>
      <c r="L25" t="s">
        <v>57</v>
      </c>
    </row>
    <row r="26" spans="1:32" x14ac:dyDescent="0.25">
      <c r="A26">
        <v>2013</v>
      </c>
      <c r="B26" t="s">
        <v>10</v>
      </c>
      <c r="C26" t="s">
        <v>7</v>
      </c>
      <c r="D26" t="s">
        <v>8</v>
      </c>
      <c r="E26">
        <v>25</v>
      </c>
      <c r="F26" t="s">
        <v>43</v>
      </c>
      <c r="G26" t="s">
        <v>12</v>
      </c>
      <c r="H26" t="s">
        <v>13</v>
      </c>
      <c r="I26" t="s">
        <v>16</v>
      </c>
      <c r="J26" t="s">
        <v>17</v>
      </c>
      <c r="K26" t="s">
        <v>18</v>
      </c>
      <c r="L26" t="s">
        <v>44</v>
      </c>
      <c r="M26" t="s">
        <v>19</v>
      </c>
      <c r="N26" t="s">
        <v>50</v>
      </c>
      <c r="O26" t="s">
        <v>20</v>
      </c>
      <c r="P26" t="s">
        <v>21</v>
      </c>
      <c r="Q26" t="s">
        <v>46</v>
      </c>
      <c r="R26" t="s">
        <v>24</v>
      </c>
      <c r="S26" t="s">
        <v>25</v>
      </c>
      <c r="T26" t="s">
        <v>38</v>
      </c>
      <c r="U26" t="s">
        <v>26</v>
      </c>
      <c r="V26" t="s">
        <v>27</v>
      </c>
      <c r="W26" t="s">
        <v>28</v>
      </c>
      <c r="X26" t="s">
        <v>56</v>
      </c>
      <c r="Y26" t="s">
        <v>29</v>
      </c>
      <c r="Z26" t="s">
        <v>57</v>
      </c>
      <c r="AA26" t="s">
        <v>31</v>
      </c>
      <c r="AB26" t="s">
        <v>32</v>
      </c>
      <c r="AC26" t="s">
        <v>33</v>
      </c>
      <c r="AD26" t="s">
        <v>34</v>
      </c>
    </row>
    <row r="27" spans="1:32" x14ac:dyDescent="0.25">
      <c r="A27">
        <v>2013</v>
      </c>
      <c r="B27" t="s">
        <v>10</v>
      </c>
      <c r="C27" t="s">
        <v>7</v>
      </c>
      <c r="D27" t="s">
        <v>9</v>
      </c>
      <c r="E27">
        <v>5</v>
      </c>
      <c r="F27" t="s">
        <v>23</v>
      </c>
      <c r="G27" t="s">
        <v>39</v>
      </c>
      <c r="H27" t="s">
        <v>40</v>
      </c>
      <c r="I27" t="s">
        <v>42</v>
      </c>
      <c r="J27" t="s">
        <v>47</v>
      </c>
    </row>
    <row r="28" spans="1:32" x14ac:dyDescent="0.25">
      <c r="A28">
        <v>2014</v>
      </c>
      <c r="B28" t="s">
        <v>10</v>
      </c>
      <c r="C28" t="s">
        <v>7</v>
      </c>
      <c r="D28" t="s">
        <v>8</v>
      </c>
      <c r="E28">
        <v>27</v>
      </c>
      <c r="F28" t="s">
        <v>12</v>
      </c>
      <c r="G28" t="s">
        <v>13</v>
      </c>
      <c r="H28" t="s">
        <v>18</v>
      </c>
      <c r="I28" t="s">
        <v>19</v>
      </c>
      <c r="J28" t="s">
        <v>24</v>
      </c>
      <c r="K28" t="s">
        <v>25</v>
      </c>
      <c r="L28" t="s">
        <v>53</v>
      </c>
      <c r="M28" t="s">
        <v>40</v>
      </c>
      <c r="N28" t="s">
        <v>62</v>
      </c>
      <c r="O28" t="s">
        <v>27</v>
      </c>
      <c r="P28" t="s">
        <v>41</v>
      </c>
      <c r="Q28" t="s">
        <v>61</v>
      </c>
      <c r="R28" t="s">
        <v>42</v>
      </c>
      <c r="S28" t="s">
        <v>54</v>
      </c>
      <c r="T28" t="s">
        <v>28</v>
      </c>
      <c r="U28" t="s">
        <v>55</v>
      </c>
      <c r="V28" t="s">
        <v>56</v>
      </c>
      <c r="W28" t="s">
        <v>29</v>
      </c>
      <c r="X28" t="s">
        <v>57</v>
      </c>
      <c r="Y28" t="s">
        <v>30</v>
      </c>
      <c r="Z28" t="s">
        <v>47</v>
      </c>
      <c r="AA28" t="s">
        <v>31</v>
      </c>
      <c r="AB28" t="s">
        <v>32</v>
      </c>
      <c r="AC28" t="s">
        <v>60</v>
      </c>
      <c r="AD28" t="s">
        <v>33</v>
      </c>
      <c r="AE28" t="s">
        <v>48</v>
      </c>
      <c r="AF28" t="s">
        <v>34</v>
      </c>
    </row>
    <row r="29" spans="1:32" x14ac:dyDescent="0.25">
      <c r="A29">
        <v>2014</v>
      </c>
      <c r="B29" t="s">
        <v>10</v>
      </c>
      <c r="C29" t="s">
        <v>7</v>
      </c>
      <c r="D29" t="s">
        <v>9</v>
      </c>
      <c r="E29">
        <v>2</v>
      </c>
      <c r="F29" t="s">
        <v>23</v>
      </c>
      <c r="G29" t="s">
        <v>26</v>
      </c>
    </row>
    <row r="30" spans="1:32" x14ac:dyDescent="0.25">
      <c r="A30">
        <v>2015</v>
      </c>
      <c r="B30" t="s">
        <v>10</v>
      </c>
      <c r="C30" t="s">
        <v>7</v>
      </c>
      <c r="D30" t="s">
        <v>8</v>
      </c>
      <c r="E30">
        <v>25</v>
      </c>
      <c r="F30" t="s">
        <v>43</v>
      </c>
      <c r="G30" t="s">
        <v>12</v>
      </c>
      <c r="H30" t="s">
        <v>13</v>
      </c>
      <c r="I30" t="s">
        <v>14</v>
      </c>
      <c r="J30" t="s">
        <v>17</v>
      </c>
      <c r="K30" t="s">
        <v>18</v>
      </c>
      <c r="L30" t="s">
        <v>44</v>
      </c>
      <c r="M30" t="s">
        <v>19</v>
      </c>
      <c r="N30" t="s">
        <v>21</v>
      </c>
      <c r="O30" t="s">
        <v>46</v>
      </c>
      <c r="P30" t="s">
        <v>23</v>
      </c>
      <c r="Q30" t="s">
        <v>24</v>
      </c>
      <c r="R30" t="s">
        <v>25</v>
      </c>
      <c r="S30" t="s">
        <v>53</v>
      </c>
      <c r="T30" t="s">
        <v>40</v>
      </c>
      <c r="U30" t="s">
        <v>27</v>
      </c>
      <c r="V30" t="s">
        <v>28</v>
      </c>
      <c r="W30" t="s">
        <v>30</v>
      </c>
      <c r="X30" t="s">
        <v>47</v>
      </c>
      <c r="Y30" t="s">
        <v>31</v>
      </c>
      <c r="Z30" t="s">
        <v>32</v>
      </c>
      <c r="AA30" t="s">
        <v>60</v>
      </c>
      <c r="AB30" t="s">
        <v>33</v>
      </c>
      <c r="AC30" t="s">
        <v>48</v>
      </c>
      <c r="AD30" t="s">
        <v>34</v>
      </c>
    </row>
    <row r="31" spans="1:32" x14ac:dyDescent="0.25">
      <c r="A31">
        <v>2015</v>
      </c>
      <c r="B31" t="s">
        <v>10</v>
      </c>
      <c r="C31" t="s">
        <v>7</v>
      </c>
      <c r="D31" t="s">
        <v>9</v>
      </c>
      <c r="E31">
        <v>4</v>
      </c>
      <c r="F31" t="s">
        <v>16</v>
      </c>
      <c r="G31" t="s">
        <v>36</v>
      </c>
      <c r="H31" t="s">
        <v>26</v>
      </c>
      <c r="I31" t="s">
        <v>42</v>
      </c>
    </row>
    <row r="32" spans="1:32" x14ac:dyDescent="0.25">
      <c r="A32">
        <v>2016</v>
      </c>
      <c r="B32" t="s">
        <v>10</v>
      </c>
      <c r="C32" t="s">
        <v>7</v>
      </c>
      <c r="D32" t="s">
        <v>8</v>
      </c>
      <c r="E32">
        <v>23</v>
      </c>
      <c r="F32" t="s">
        <v>13</v>
      </c>
      <c r="G32" t="s">
        <v>17</v>
      </c>
      <c r="H32" t="s">
        <v>18</v>
      </c>
      <c r="I32" t="s">
        <v>19</v>
      </c>
      <c r="J32" t="s">
        <v>25</v>
      </c>
      <c r="K32" t="s">
        <v>39</v>
      </c>
      <c r="L32" t="s">
        <v>26</v>
      </c>
      <c r="M32" t="s">
        <v>53</v>
      </c>
      <c r="N32" t="s">
        <v>40</v>
      </c>
      <c r="O32" t="s">
        <v>27</v>
      </c>
      <c r="P32" t="s">
        <v>54</v>
      </c>
      <c r="Q32" t="s">
        <v>28</v>
      </c>
      <c r="R32" t="s">
        <v>55</v>
      </c>
      <c r="S32" t="s">
        <v>56</v>
      </c>
      <c r="T32" t="s">
        <v>29</v>
      </c>
      <c r="U32" t="s">
        <v>30</v>
      </c>
      <c r="V32" t="s">
        <v>47</v>
      </c>
      <c r="W32" t="s">
        <v>31</v>
      </c>
      <c r="X32" t="s">
        <v>32</v>
      </c>
      <c r="Y32" t="s">
        <v>60</v>
      </c>
      <c r="Z32" t="s">
        <v>33</v>
      </c>
      <c r="AA32" t="s">
        <v>48</v>
      </c>
      <c r="AB32" t="s">
        <v>34</v>
      </c>
    </row>
    <row r="33" spans="1:31" x14ac:dyDescent="0.25">
      <c r="A33">
        <v>2016</v>
      </c>
      <c r="B33" t="s">
        <v>10</v>
      </c>
      <c r="C33" t="s">
        <v>7</v>
      </c>
      <c r="D33" t="s">
        <v>9</v>
      </c>
      <c r="E33">
        <v>5</v>
      </c>
      <c r="F33" t="s">
        <v>37</v>
      </c>
      <c r="G33" t="s">
        <v>38</v>
      </c>
      <c r="H33" t="s">
        <v>49</v>
      </c>
      <c r="I33" t="s">
        <v>42</v>
      </c>
      <c r="J33" t="s">
        <v>57</v>
      </c>
    </row>
    <row r="34" spans="1:31" x14ac:dyDescent="0.25">
      <c r="A34">
        <v>2017</v>
      </c>
      <c r="B34" t="s">
        <v>10</v>
      </c>
      <c r="C34" t="s">
        <v>7</v>
      </c>
      <c r="D34" t="s">
        <v>8</v>
      </c>
      <c r="E34">
        <v>23</v>
      </c>
      <c r="F34" t="s">
        <v>43</v>
      </c>
      <c r="G34" t="s">
        <v>13</v>
      </c>
      <c r="H34" t="s">
        <v>17</v>
      </c>
      <c r="I34" t="s">
        <v>18</v>
      </c>
      <c r="J34" t="s">
        <v>44</v>
      </c>
      <c r="K34" t="s">
        <v>19</v>
      </c>
      <c r="L34" t="s">
        <v>46</v>
      </c>
      <c r="M34" t="s">
        <v>24</v>
      </c>
      <c r="N34" t="s">
        <v>25</v>
      </c>
      <c r="O34" t="s">
        <v>27</v>
      </c>
      <c r="P34" t="s">
        <v>42</v>
      </c>
      <c r="Q34" t="s">
        <v>28</v>
      </c>
      <c r="R34" t="s">
        <v>55</v>
      </c>
      <c r="S34" t="s">
        <v>56</v>
      </c>
      <c r="T34" t="s">
        <v>29</v>
      </c>
      <c r="U34" t="s">
        <v>30</v>
      </c>
      <c r="V34" t="s">
        <v>47</v>
      </c>
      <c r="W34" t="s">
        <v>31</v>
      </c>
      <c r="X34" t="s">
        <v>32</v>
      </c>
      <c r="Y34" t="s">
        <v>60</v>
      </c>
      <c r="Z34" t="s">
        <v>33</v>
      </c>
      <c r="AA34" t="s">
        <v>48</v>
      </c>
      <c r="AB34" t="s">
        <v>34</v>
      </c>
    </row>
    <row r="35" spans="1:31" x14ac:dyDescent="0.25">
      <c r="A35">
        <v>2017</v>
      </c>
      <c r="B35" t="s">
        <v>10</v>
      </c>
      <c r="C35" t="s">
        <v>7</v>
      </c>
      <c r="D35" t="s">
        <v>9</v>
      </c>
      <c r="E35">
        <v>6</v>
      </c>
      <c r="F35" t="s">
        <v>16</v>
      </c>
      <c r="G35" t="s">
        <v>21</v>
      </c>
      <c r="H35" t="s">
        <v>23</v>
      </c>
      <c r="I35" t="s">
        <v>26</v>
      </c>
      <c r="J35" t="s">
        <v>40</v>
      </c>
      <c r="K35" t="s">
        <v>57</v>
      </c>
    </row>
    <row r="36" spans="1:31" x14ac:dyDescent="0.25">
      <c r="A36">
        <v>2018</v>
      </c>
      <c r="B36" t="s">
        <v>10</v>
      </c>
      <c r="C36" t="s">
        <v>7</v>
      </c>
      <c r="D36" t="s">
        <v>8</v>
      </c>
      <c r="E36">
        <v>24</v>
      </c>
      <c r="F36" t="s">
        <v>43</v>
      </c>
      <c r="G36" t="s">
        <v>13</v>
      </c>
      <c r="H36" t="s">
        <v>18</v>
      </c>
      <c r="I36" t="s">
        <v>44</v>
      </c>
      <c r="J36" t="s">
        <v>19</v>
      </c>
      <c r="K36" t="s">
        <v>50</v>
      </c>
      <c r="L36" t="s">
        <v>20</v>
      </c>
      <c r="M36" t="s">
        <v>46</v>
      </c>
      <c r="N36" t="s">
        <v>24</v>
      </c>
      <c r="O36" t="s">
        <v>25</v>
      </c>
      <c r="P36" t="s">
        <v>40</v>
      </c>
      <c r="Q36" t="s">
        <v>27</v>
      </c>
      <c r="R36" t="s">
        <v>41</v>
      </c>
      <c r="S36" t="s">
        <v>42</v>
      </c>
      <c r="T36" t="s">
        <v>28</v>
      </c>
      <c r="U36" t="s">
        <v>29</v>
      </c>
      <c r="V36" t="s">
        <v>30</v>
      </c>
      <c r="W36" t="s">
        <v>47</v>
      </c>
      <c r="X36" t="s">
        <v>31</v>
      </c>
      <c r="Y36" t="s">
        <v>32</v>
      </c>
      <c r="Z36" t="s">
        <v>60</v>
      </c>
      <c r="AA36" t="s">
        <v>33</v>
      </c>
      <c r="AB36" t="s">
        <v>48</v>
      </c>
      <c r="AC36" t="s">
        <v>34</v>
      </c>
    </row>
    <row r="37" spans="1:31" x14ac:dyDescent="0.25">
      <c r="A37">
        <v>2018</v>
      </c>
      <c r="B37" t="s">
        <v>10</v>
      </c>
      <c r="C37" t="s">
        <v>7</v>
      </c>
      <c r="D37" t="s">
        <v>9</v>
      </c>
      <c r="E37">
        <v>4</v>
      </c>
      <c r="F37" t="s">
        <v>21</v>
      </c>
      <c r="G37" t="s">
        <v>37</v>
      </c>
      <c r="H37" t="s">
        <v>39</v>
      </c>
      <c r="I37" t="s">
        <v>26</v>
      </c>
    </row>
    <row r="38" spans="1:31" x14ac:dyDescent="0.25">
      <c r="A38">
        <v>2019</v>
      </c>
      <c r="B38" t="s">
        <v>10</v>
      </c>
      <c r="C38" t="s">
        <v>7</v>
      </c>
      <c r="D38" t="s">
        <v>8</v>
      </c>
      <c r="E38">
        <v>26</v>
      </c>
      <c r="F38" t="s">
        <v>43</v>
      </c>
      <c r="G38" t="s">
        <v>13</v>
      </c>
      <c r="H38" t="s">
        <v>17</v>
      </c>
      <c r="I38" t="s">
        <v>18</v>
      </c>
      <c r="J38" t="s">
        <v>19</v>
      </c>
      <c r="K38" t="s">
        <v>58</v>
      </c>
      <c r="L38" t="s">
        <v>24</v>
      </c>
      <c r="M38" t="s">
        <v>25</v>
      </c>
      <c r="N38" t="s">
        <v>39</v>
      </c>
      <c r="O38" t="s">
        <v>40</v>
      </c>
      <c r="P38" t="s">
        <v>27</v>
      </c>
      <c r="Q38" t="s">
        <v>41</v>
      </c>
      <c r="R38" t="s">
        <v>42</v>
      </c>
      <c r="S38" t="s">
        <v>54</v>
      </c>
      <c r="T38" t="s">
        <v>28</v>
      </c>
      <c r="U38" t="s">
        <v>59</v>
      </c>
      <c r="V38" t="s">
        <v>29</v>
      </c>
      <c r="W38" t="s">
        <v>57</v>
      </c>
      <c r="X38" t="s">
        <v>30</v>
      </c>
      <c r="Y38" t="s">
        <v>47</v>
      </c>
      <c r="Z38" t="s">
        <v>31</v>
      </c>
      <c r="AA38" t="s">
        <v>32</v>
      </c>
      <c r="AB38" t="s">
        <v>60</v>
      </c>
      <c r="AC38" t="s">
        <v>33</v>
      </c>
      <c r="AD38" t="s">
        <v>48</v>
      </c>
      <c r="AE38" t="s">
        <v>34</v>
      </c>
    </row>
    <row r="39" spans="1:31" x14ac:dyDescent="0.25">
      <c r="A39">
        <v>2019</v>
      </c>
      <c r="B39" t="s">
        <v>10</v>
      </c>
      <c r="C39" t="s">
        <v>7</v>
      </c>
      <c r="D39" t="s">
        <v>9</v>
      </c>
      <c r="E39">
        <v>5</v>
      </c>
      <c r="F39" t="s">
        <v>21</v>
      </c>
      <c r="G39" t="s">
        <v>23</v>
      </c>
      <c r="H39" t="s">
        <v>37</v>
      </c>
      <c r="I39" t="s">
        <v>38</v>
      </c>
      <c r="J39" t="s">
        <v>26</v>
      </c>
    </row>
    <row r="40" spans="1:31" x14ac:dyDescent="0.25">
      <c r="A40">
        <v>2020</v>
      </c>
      <c r="B40" t="s">
        <v>10</v>
      </c>
      <c r="C40" t="s">
        <v>7</v>
      </c>
      <c r="D40" t="s">
        <v>8</v>
      </c>
      <c r="E40">
        <v>25</v>
      </c>
      <c r="F40" t="s">
        <v>12</v>
      </c>
      <c r="G40" t="s">
        <v>13</v>
      </c>
      <c r="H40" t="s">
        <v>17</v>
      </c>
      <c r="I40" t="s">
        <v>19</v>
      </c>
      <c r="J40" t="s">
        <v>25</v>
      </c>
      <c r="K40" t="s">
        <v>39</v>
      </c>
      <c r="L40" t="s">
        <v>26</v>
      </c>
      <c r="M40" t="s">
        <v>53</v>
      </c>
      <c r="N40" t="s">
        <v>40</v>
      </c>
      <c r="O40" t="s">
        <v>27</v>
      </c>
      <c r="P40" t="s">
        <v>41</v>
      </c>
      <c r="Q40" t="s">
        <v>42</v>
      </c>
      <c r="R40" t="s">
        <v>54</v>
      </c>
      <c r="S40" t="s">
        <v>63</v>
      </c>
      <c r="T40" t="s">
        <v>28</v>
      </c>
      <c r="U40" t="s">
        <v>59</v>
      </c>
      <c r="V40" t="s">
        <v>29</v>
      </c>
      <c r="W40" t="s">
        <v>30</v>
      </c>
      <c r="X40" t="s">
        <v>47</v>
      </c>
      <c r="Y40" t="s">
        <v>31</v>
      </c>
      <c r="Z40" t="s">
        <v>32</v>
      </c>
      <c r="AA40" t="s">
        <v>60</v>
      </c>
      <c r="AB40" t="s">
        <v>33</v>
      </c>
      <c r="AC40" t="s">
        <v>48</v>
      </c>
      <c r="AD40" t="s">
        <v>34</v>
      </c>
    </row>
    <row r="41" spans="1:31" x14ac:dyDescent="0.25">
      <c r="A41">
        <v>2020</v>
      </c>
      <c r="B41" t="s">
        <v>10</v>
      </c>
      <c r="C41" t="s">
        <v>7</v>
      </c>
      <c r="D41" t="s">
        <v>9</v>
      </c>
      <c r="E41">
        <v>3</v>
      </c>
      <c r="F41" t="s">
        <v>18</v>
      </c>
      <c r="G41" t="s">
        <v>23</v>
      </c>
      <c r="H41" t="s">
        <v>61</v>
      </c>
    </row>
    <row r="42" spans="1:31" x14ac:dyDescent="0.25">
      <c r="A42">
        <v>2011</v>
      </c>
      <c r="B42" t="s">
        <v>11</v>
      </c>
      <c r="C42" t="s">
        <v>7</v>
      </c>
      <c r="D42" t="s">
        <v>8</v>
      </c>
      <c r="E42">
        <v>23</v>
      </c>
      <c r="F42" t="s">
        <v>12</v>
      </c>
      <c r="G42" t="s">
        <v>13</v>
      </c>
      <c r="H42" t="s">
        <v>14</v>
      </c>
      <c r="I42" t="s">
        <v>15</v>
      </c>
      <c r="J42" t="s">
        <v>16</v>
      </c>
      <c r="K42" t="s">
        <v>18</v>
      </c>
      <c r="L42" t="s">
        <v>19</v>
      </c>
      <c r="M42" t="s">
        <v>20</v>
      </c>
      <c r="N42" t="s">
        <v>21</v>
      </c>
      <c r="O42" t="s">
        <v>22</v>
      </c>
      <c r="P42" t="s">
        <v>36</v>
      </c>
      <c r="Q42" t="s">
        <v>23</v>
      </c>
      <c r="R42" t="s">
        <v>25</v>
      </c>
      <c r="S42" t="s">
        <v>26</v>
      </c>
      <c r="T42" t="s">
        <v>40</v>
      </c>
      <c r="U42" t="s">
        <v>27</v>
      </c>
      <c r="V42" t="s">
        <v>28</v>
      </c>
      <c r="W42" t="s">
        <v>29</v>
      </c>
      <c r="X42" t="s">
        <v>30</v>
      </c>
      <c r="Y42" t="s">
        <v>47</v>
      </c>
      <c r="Z42" t="s">
        <v>31</v>
      </c>
      <c r="AA42" t="s">
        <v>32</v>
      </c>
      <c r="AB42" t="s">
        <v>34</v>
      </c>
    </row>
    <row r="43" spans="1:31" x14ac:dyDescent="0.25">
      <c r="A43">
        <v>2011</v>
      </c>
      <c r="B43" t="s">
        <v>11</v>
      </c>
      <c r="C43" t="s">
        <v>7</v>
      </c>
      <c r="D43" t="s">
        <v>9</v>
      </c>
      <c r="E43">
        <v>7</v>
      </c>
      <c r="F43" t="s">
        <v>35</v>
      </c>
      <c r="G43" t="s">
        <v>64</v>
      </c>
      <c r="H43" t="s">
        <v>52</v>
      </c>
      <c r="I43" t="s">
        <v>65</v>
      </c>
      <c r="J43" t="s">
        <v>42</v>
      </c>
      <c r="K43" t="s">
        <v>33</v>
      </c>
      <c r="L43" t="s">
        <v>48</v>
      </c>
    </row>
    <row r="44" spans="1:31" x14ac:dyDescent="0.25">
      <c r="A44">
        <v>2012</v>
      </c>
      <c r="B44" t="s">
        <v>11</v>
      </c>
      <c r="C44" t="s">
        <v>7</v>
      </c>
      <c r="D44" t="s">
        <v>8</v>
      </c>
      <c r="E44">
        <v>24</v>
      </c>
      <c r="F44" t="s">
        <v>12</v>
      </c>
      <c r="G44" t="s">
        <v>13</v>
      </c>
      <c r="H44" t="s">
        <v>15</v>
      </c>
      <c r="I44" t="s">
        <v>17</v>
      </c>
      <c r="J44" t="s">
        <v>18</v>
      </c>
      <c r="K44" t="s">
        <v>19</v>
      </c>
      <c r="L44" t="s">
        <v>20</v>
      </c>
      <c r="M44" t="s">
        <v>21</v>
      </c>
      <c r="N44" t="s">
        <v>36</v>
      </c>
      <c r="O44" t="s">
        <v>23</v>
      </c>
      <c r="P44" t="s">
        <v>24</v>
      </c>
      <c r="Q44" t="s">
        <v>25</v>
      </c>
      <c r="R44" t="s">
        <v>37</v>
      </c>
      <c r="S44" t="s">
        <v>39</v>
      </c>
      <c r="T44" t="s">
        <v>26</v>
      </c>
      <c r="U44" t="s">
        <v>27</v>
      </c>
      <c r="V44" t="s">
        <v>28</v>
      </c>
      <c r="W44" t="s">
        <v>55</v>
      </c>
      <c r="X44" t="s">
        <v>29</v>
      </c>
      <c r="Y44" t="s">
        <v>57</v>
      </c>
      <c r="Z44" t="s">
        <v>30</v>
      </c>
      <c r="AA44" t="s">
        <v>47</v>
      </c>
      <c r="AB44" t="s">
        <v>32</v>
      </c>
      <c r="AC44" t="s">
        <v>34</v>
      </c>
    </row>
    <row r="45" spans="1:31" x14ac:dyDescent="0.25">
      <c r="A45">
        <v>2012</v>
      </c>
      <c r="B45" t="s">
        <v>11</v>
      </c>
      <c r="C45" t="s">
        <v>7</v>
      </c>
      <c r="D45" t="s">
        <v>9</v>
      </c>
      <c r="E45">
        <v>6</v>
      </c>
      <c r="F45" t="s">
        <v>14</v>
      </c>
      <c r="G45" t="s">
        <v>16</v>
      </c>
      <c r="H45" t="s">
        <v>66</v>
      </c>
      <c r="I45" t="s">
        <v>40</v>
      </c>
      <c r="J45" t="s">
        <v>42</v>
      </c>
      <c r="K45" t="s">
        <v>31</v>
      </c>
    </row>
    <row r="46" spans="1:31" x14ac:dyDescent="0.25">
      <c r="A46">
        <v>2013</v>
      </c>
      <c r="B46" t="s">
        <v>11</v>
      </c>
      <c r="C46" t="s">
        <v>7</v>
      </c>
      <c r="D46" t="s">
        <v>8</v>
      </c>
      <c r="E46">
        <v>25</v>
      </c>
      <c r="F46" t="s">
        <v>12</v>
      </c>
      <c r="G46" t="s">
        <v>13</v>
      </c>
      <c r="H46" t="s">
        <v>14</v>
      </c>
      <c r="I46" t="s">
        <v>35</v>
      </c>
      <c r="J46" t="s">
        <v>16</v>
      </c>
      <c r="K46" t="s">
        <v>18</v>
      </c>
      <c r="L46" t="s">
        <v>19</v>
      </c>
      <c r="M46" t="s">
        <v>64</v>
      </c>
      <c r="N46" t="s">
        <v>65</v>
      </c>
      <c r="O46" t="s">
        <v>20</v>
      </c>
      <c r="P46" t="s">
        <v>21</v>
      </c>
      <c r="Q46" t="s">
        <v>22</v>
      </c>
      <c r="R46" t="s">
        <v>36</v>
      </c>
      <c r="S46" t="s">
        <v>23</v>
      </c>
      <c r="T46" t="s">
        <v>25</v>
      </c>
      <c r="U46" t="s">
        <v>26</v>
      </c>
      <c r="V46" t="s">
        <v>40</v>
      </c>
      <c r="W46" t="s">
        <v>27</v>
      </c>
      <c r="X46" t="s">
        <v>28</v>
      </c>
      <c r="Y46" t="s">
        <v>29</v>
      </c>
      <c r="Z46" t="s">
        <v>30</v>
      </c>
      <c r="AA46" t="s">
        <v>47</v>
      </c>
      <c r="AB46" t="s">
        <v>31</v>
      </c>
      <c r="AC46" t="s">
        <v>32</v>
      </c>
      <c r="AD46" t="s">
        <v>34</v>
      </c>
    </row>
    <row r="47" spans="1:31" x14ac:dyDescent="0.25">
      <c r="A47">
        <v>2013</v>
      </c>
      <c r="B47" t="s">
        <v>11</v>
      </c>
      <c r="C47" t="s">
        <v>7</v>
      </c>
      <c r="D47" t="s">
        <v>9</v>
      </c>
      <c r="E47">
        <v>4</v>
      </c>
      <c r="F47" t="s">
        <v>52</v>
      </c>
      <c r="G47" t="s">
        <v>42</v>
      </c>
      <c r="H47" t="s">
        <v>54</v>
      </c>
      <c r="I47" t="s">
        <v>48</v>
      </c>
    </row>
    <row r="48" spans="1:31" x14ac:dyDescent="0.25">
      <c r="A48">
        <v>2014</v>
      </c>
      <c r="B48" t="s">
        <v>11</v>
      </c>
      <c r="C48" t="s">
        <v>7</v>
      </c>
      <c r="D48" t="s">
        <v>8</v>
      </c>
      <c r="E48">
        <v>24</v>
      </c>
      <c r="F48" t="s">
        <v>12</v>
      </c>
      <c r="G48" t="s">
        <v>13</v>
      </c>
      <c r="H48" t="s">
        <v>15</v>
      </c>
      <c r="I48" t="s">
        <v>35</v>
      </c>
      <c r="J48" t="s">
        <v>16</v>
      </c>
      <c r="K48" t="s">
        <v>18</v>
      </c>
      <c r="L48" t="s">
        <v>19</v>
      </c>
      <c r="M48" t="s">
        <v>20</v>
      </c>
      <c r="N48" t="s">
        <v>21</v>
      </c>
      <c r="O48" t="s">
        <v>22</v>
      </c>
      <c r="P48" t="s">
        <v>23</v>
      </c>
      <c r="Q48" t="s">
        <v>24</v>
      </c>
      <c r="R48" t="s">
        <v>25</v>
      </c>
      <c r="S48" t="s">
        <v>37</v>
      </c>
      <c r="T48" t="s">
        <v>39</v>
      </c>
      <c r="U48" t="s">
        <v>27</v>
      </c>
      <c r="V48" t="s">
        <v>28</v>
      </c>
      <c r="W48" t="s">
        <v>56</v>
      </c>
      <c r="X48" t="s">
        <v>29</v>
      </c>
      <c r="Y48" t="s">
        <v>57</v>
      </c>
      <c r="Z48" t="s">
        <v>30</v>
      </c>
      <c r="AA48" t="s">
        <v>47</v>
      </c>
      <c r="AB48" t="s">
        <v>32</v>
      </c>
      <c r="AC48" t="s">
        <v>34</v>
      </c>
    </row>
    <row r="49" spans="1:31" x14ac:dyDescent="0.25">
      <c r="A49">
        <v>2014</v>
      </c>
      <c r="B49" t="s">
        <v>11</v>
      </c>
      <c r="C49" t="s">
        <v>7</v>
      </c>
      <c r="D49" t="s">
        <v>9</v>
      </c>
      <c r="E49">
        <v>6</v>
      </c>
      <c r="F49" t="s">
        <v>14</v>
      </c>
      <c r="G49" t="s">
        <v>64</v>
      </c>
      <c r="H49" t="s">
        <v>65</v>
      </c>
      <c r="I49" t="s">
        <v>26</v>
      </c>
      <c r="J49" t="s">
        <v>40</v>
      </c>
      <c r="K49" t="s">
        <v>42</v>
      </c>
    </row>
    <row r="50" spans="1:31" x14ac:dyDescent="0.25">
      <c r="A50">
        <v>2015</v>
      </c>
      <c r="B50" t="s">
        <v>11</v>
      </c>
      <c r="C50" t="s">
        <v>7</v>
      </c>
      <c r="D50" t="s">
        <v>8</v>
      </c>
      <c r="E50">
        <v>26</v>
      </c>
      <c r="F50" t="s">
        <v>12</v>
      </c>
      <c r="G50" t="s">
        <v>13</v>
      </c>
      <c r="H50" t="s">
        <v>14</v>
      </c>
      <c r="I50" t="s">
        <v>15</v>
      </c>
      <c r="J50" t="s">
        <v>35</v>
      </c>
      <c r="K50" t="s">
        <v>16</v>
      </c>
      <c r="L50" t="s">
        <v>17</v>
      </c>
      <c r="M50" t="s">
        <v>18</v>
      </c>
      <c r="N50" t="s">
        <v>19</v>
      </c>
      <c r="O50" t="s">
        <v>50</v>
      </c>
      <c r="P50" t="s">
        <v>21</v>
      </c>
      <c r="Q50" t="s">
        <v>36</v>
      </c>
      <c r="R50" t="s">
        <v>23</v>
      </c>
      <c r="S50" t="s">
        <v>24</v>
      </c>
      <c r="T50" t="s">
        <v>25</v>
      </c>
      <c r="U50" t="s">
        <v>26</v>
      </c>
      <c r="V50" t="s">
        <v>40</v>
      </c>
      <c r="W50" t="s">
        <v>27</v>
      </c>
      <c r="X50" t="s">
        <v>28</v>
      </c>
      <c r="Y50" t="s">
        <v>29</v>
      </c>
      <c r="Z50" t="s">
        <v>57</v>
      </c>
      <c r="AA50" t="s">
        <v>30</v>
      </c>
      <c r="AB50" t="s">
        <v>47</v>
      </c>
      <c r="AC50" t="s">
        <v>31</v>
      </c>
      <c r="AD50" t="s">
        <v>32</v>
      </c>
      <c r="AE50" t="s">
        <v>34</v>
      </c>
    </row>
    <row r="51" spans="1:31" x14ac:dyDescent="0.25">
      <c r="A51">
        <v>2015</v>
      </c>
      <c r="B51" t="s">
        <v>11</v>
      </c>
      <c r="C51" t="s">
        <v>7</v>
      </c>
      <c r="D51" t="s">
        <v>9</v>
      </c>
      <c r="E51">
        <v>4</v>
      </c>
      <c r="F51" t="s">
        <v>39</v>
      </c>
      <c r="G51" t="s">
        <v>53</v>
      </c>
      <c r="H51" t="s">
        <v>42</v>
      </c>
      <c r="I51" t="s">
        <v>48</v>
      </c>
    </row>
    <row r="52" spans="1:31" x14ac:dyDescent="0.25">
      <c r="A52">
        <v>2016</v>
      </c>
      <c r="B52" t="s">
        <v>11</v>
      </c>
      <c r="C52" t="s">
        <v>7</v>
      </c>
      <c r="D52" t="s">
        <v>8</v>
      </c>
      <c r="E52">
        <v>24</v>
      </c>
      <c r="F52" t="s">
        <v>12</v>
      </c>
      <c r="G52" t="s">
        <v>13</v>
      </c>
      <c r="H52" t="s">
        <v>14</v>
      </c>
      <c r="I52" t="s">
        <v>35</v>
      </c>
      <c r="J52" t="s">
        <v>16</v>
      </c>
      <c r="K52" t="s">
        <v>17</v>
      </c>
      <c r="L52" t="s">
        <v>18</v>
      </c>
      <c r="M52" t="s">
        <v>19</v>
      </c>
      <c r="N52" t="s">
        <v>21</v>
      </c>
      <c r="O52" t="s">
        <v>36</v>
      </c>
      <c r="P52" t="s">
        <v>23</v>
      </c>
      <c r="Q52" t="s">
        <v>24</v>
      </c>
      <c r="R52" t="s">
        <v>25</v>
      </c>
      <c r="S52" t="s">
        <v>26</v>
      </c>
      <c r="T52" t="s">
        <v>40</v>
      </c>
      <c r="U52" t="s">
        <v>27</v>
      </c>
      <c r="V52" t="s">
        <v>28</v>
      </c>
      <c r="W52" t="s">
        <v>29</v>
      </c>
      <c r="X52" t="s">
        <v>30</v>
      </c>
      <c r="Y52" t="s">
        <v>47</v>
      </c>
      <c r="Z52" t="s">
        <v>31</v>
      </c>
      <c r="AA52" t="s">
        <v>32</v>
      </c>
      <c r="AB52" t="s">
        <v>48</v>
      </c>
      <c r="AC52" t="s">
        <v>34</v>
      </c>
    </row>
    <row r="53" spans="1:31" x14ac:dyDescent="0.25">
      <c r="A53">
        <v>2016</v>
      </c>
      <c r="B53" t="s">
        <v>11</v>
      </c>
      <c r="C53" t="s">
        <v>7</v>
      </c>
      <c r="D53" t="s">
        <v>9</v>
      </c>
      <c r="E53">
        <v>4</v>
      </c>
      <c r="F53" t="s">
        <v>39</v>
      </c>
      <c r="G53" t="s">
        <v>42</v>
      </c>
      <c r="H53" t="s">
        <v>54</v>
      </c>
      <c r="I53" t="s">
        <v>33</v>
      </c>
    </row>
    <row r="54" spans="1:31" x14ac:dyDescent="0.25">
      <c r="A54">
        <v>2017</v>
      </c>
      <c r="B54" t="s">
        <v>11</v>
      </c>
      <c r="C54" t="s">
        <v>7</v>
      </c>
      <c r="D54" t="s">
        <v>8</v>
      </c>
      <c r="E54">
        <v>24</v>
      </c>
      <c r="F54" t="s">
        <v>43</v>
      </c>
      <c r="G54" t="s">
        <v>13</v>
      </c>
      <c r="H54" t="s">
        <v>35</v>
      </c>
      <c r="I54" t="s">
        <v>17</v>
      </c>
      <c r="J54" t="s">
        <v>18</v>
      </c>
      <c r="K54" t="s">
        <v>44</v>
      </c>
      <c r="L54" t="s">
        <v>19</v>
      </c>
      <c r="M54" t="s">
        <v>50</v>
      </c>
      <c r="N54" t="s">
        <v>20</v>
      </c>
      <c r="O54" t="s">
        <v>21</v>
      </c>
      <c r="P54" t="s">
        <v>22</v>
      </c>
      <c r="Q54" t="s">
        <v>46</v>
      </c>
      <c r="R54" t="s">
        <v>23</v>
      </c>
      <c r="S54" t="s">
        <v>24</v>
      </c>
      <c r="T54" t="s">
        <v>25</v>
      </c>
      <c r="U54" t="s">
        <v>40</v>
      </c>
      <c r="V54" t="s">
        <v>27</v>
      </c>
      <c r="W54" t="s">
        <v>28</v>
      </c>
      <c r="X54" t="s">
        <v>30</v>
      </c>
      <c r="Y54" t="s">
        <v>47</v>
      </c>
      <c r="Z54" t="s">
        <v>31</v>
      </c>
      <c r="AA54" t="s">
        <v>32</v>
      </c>
      <c r="AB54" t="s">
        <v>48</v>
      </c>
      <c r="AC54" t="s">
        <v>34</v>
      </c>
    </row>
    <row r="55" spans="1:31" x14ac:dyDescent="0.25">
      <c r="A55">
        <v>2017</v>
      </c>
      <c r="B55" t="s">
        <v>11</v>
      </c>
      <c r="C55" t="s">
        <v>7</v>
      </c>
      <c r="D55" t="s">
        <v>9</v>
      </c>
      <c r="E55">
        <v>5</v>
      </c>
      <c r="F55" t="s">
        <v>16</v>
      </c>
      <c r="G55" t="s">
        <v>36</v>
      </c>
      <c r="H55" t="s">
        <v>26</v>
      </c>
      <c r="I55" t="s">
        <v>53</v>
      </c>
      <c r="J55" t="s">
        <v>42</v>
      </c>
    </row>
    <row r="56" spans="1:31" x14ac:dyDescent="0.25">
      <c r="A56">
        <v>2018</v>
      </c>
      <c r="B56" t="s">
        <v>11</v>
      </c>
      <c r="C56" t="s">
        <v>7</v>
      </c>
      <c r="D56" t="s">
        <v>8</v>
      </c>
      <c r="E56">
        <v>24</v>
      </c>
      <c r="F56" t="s">
        <v>43</v>
      </c>
      <c r="G56" t="s">
        <v>13</v>
      </c>
      <c r="H56" t="s">
        <v>14</v>
      </c>
      <c r="I56" t="s">
        <v>16</v>
      </c>
      <c r="J56" t="s">
        <v>18</v>
      </c>
      <c r="K56" t="s">
        <v>19</v>
      </c>
      <c r="L56" t="s">
        <v>21</v>
      </c>
      <c r="M56" t="s">
        <v>36</v>
      </c>
      <c r="N56" t="s">
        <v>58</v>
      </c>
      <c r="O56" t="s">
        <v>23</v>
      </c>
      <c r="P56" t="s">
        <v>24</v>
      </c>
      <c r="Q56" t="s">
        <v>25</v>
      </c>
      <c r="R56" t="s">
        <v>26</v>
      </c>
      <c r="S56" t="s">
        <v>40</v>
      </c>
      <c r="T56" t="s">
        <v>27</v>
      </c>
      <c r="U56" t="s">
        <v>28</v>
      </c>
      <c r="V56" t="s">
        <v>29</v>
      </c>
      <c r="W56" t="s">
        <v>57</v>
      </c>
      <c r="X56" t="s">
        <v>30</v>
      </c>
      <c r="Y56" t="s">
        <v>47</v>
      </c>
      <c r="Z56" t="s">
        <v>31</v>
      </c>
      <c r="AA56" t="s">
        <v>32</v>
      </c>
      <c r="AB56" t="s">
        <v>48</v>
      </c>
      <c r="AC56" t="s">
        <v>34</v>
      </c>
    </row>
    <row r="57" spans="1:31" x14ac:dyDescent="0.25">
      <c r="A57">
        <v>2018</v>
      </c>
      <c r="B57" t="s">
        <v>11</v>
      </c>
      <c r="C57" t="s">
        <v>7</v>
      </c>
      <c r="D57" t="s">
        <v>9</v>
      </c>
      <c r="E57">
        <v>6</v>
      </c>
      <c r="F57" t="s">
        <v>51</v>
      </c>
      <c r="G57" t="s">
        <v>52</v>
      </c>
      <c r="H57" t="s">
        <v>39</v>
      </c>
      <c r="I57" t="s">
        <v>53</v>
      </c>
      <c r="J57" t="s">
        <v>42</v>
      </c>
      <c r="K57" t="s">
        <v>54</v>
      </c>
    </row>
    <row r="58" spans="1:31" x14ac:dyDescent="0.25">
      <c r="A58">
        <v>2019</v>
      </c>
      <c r="B58" t="s">
        <v>11</v>
      </c>
      <c r="C58" t="s">
        <v>7</v>
      </c>
      <c r="D58" t="s">
        <v>8</v>
      </c>
      <c r="E58">
        <v>24</v>
      </c>
      <c r="F58" t="s">
        <v>12</v>
      </c>
      <c r="G58" t="s">
        <v>13</v>
      </c>
      <c r="H58" t="s">
        <v>14</v>
      </c>
      <c r="I58" t="s">
        <v>35</v>
      </c>
      <c r="J58" t="s">
        <v>16</v>
      </c>
      <c r="K58" t="s">
        <v>18</v>
      </c>
      <c r="L58" t="s">
        <v>19</v>
      </c>
      <c r="M58" t="s">
        <v>65</v>
      </c>
      <c r="N58" t="s">
        <v>21</v>
      </c>
      <c r="O58" t="s">
        <v>22</v>
      </c>
      <c r="P58" t="s">
        <v>58</v>
      </c>
      <c r="Q58" t="s">
        <v>23</v>
      </c>
      <c r="R58" t="s">
        <v>25</v>
      </c>
      <c r="S58" t="s">
        <v>26</v>
      </c>
      <c r="T58" t="s">
        <v>40</v>
      </c>
      <c r="U58" t="s">
        <v>27</v>
      </c>
      <c r="V58" t="s">
        <v>28</v>
      </c>
      <c r="W58" t="s">
        <v>56</v>
      </c>
      <c r="X58" t="s">
        <v>29</v>
      </c>
      <c r="Y58" t="s">
        <v>30</v>
      </c>
      <c r="Z58" t="s">
        <v>47</v>
      </c>
      <c r="AA58" t="s">
        <v>31</v>
      </c>
      <c r="AB58" t="s">
        <v>32</v>
      </c>
      <c r="AC58" t="s">
        <v>34</v>
      </c>
    </row>
    <row r="59" spans="1:31" x14ac:dyDescent="0.25">
      <c r="A59">
        <v>2019</v>
      </c>
      <c r="B59" t="s">
        <v>11</v>
      </c>
      <c r="C59" t="s">
        <v>7</v>
      </c>
      <c r="D59" t="s">
        <v>9</v>
      </c>
      <c r="E59">
        <v>4</v>
      </c>
      <c r="F59" t="s">
        <v>52</v>
      </c>
      <c r="G59" t="s">
        <v>36</v>
      </c>
      <c r="H59" t="s">
        <v>39</v>
      </c>
      <c r="I59" t="s">
        <v>42</v>
      </c>
    </row>
    <row r="60" spans="1:31" x14ac:dyDescent="0.25">
      <c r="A60">
        <v>2020</v>
      </c>
      <c r="B60" t="s">
        <v>11</v>
      </c>
      <c r="C60" t="s">
        <v>7</v>
      </c>
      <c r="D60" t="s">
        <v>8</v>
      </c>
      <c r="E60">
        <v>25</v>
      </c>
      <c r="F60" t="s">
        <v>12</v>
      </c>
      <c r="G60" t="s">
        <v>13</v>
      </c>
      <c r="H60" t="s">
        <v>14</v>
      </c>
      <c r="I60" t="s">
        <v>35</v>
      </c>
      <c r="J60" t="s">
        <v>16</v>
      </c>
      <c r="K60" t="s">
        <v>18</v>
      </c>
      <c r="L60" t="s">
        <v>19</v>
      </c>
      <c r="M60" t="s">
        <v>65</v>
      </c>
      <c r="N60" t="s">
        <v>21</v>
      </c>
      <c r="O60" t="s">
        <v>36</v>
      </c>
      <c r="P60" t="s">
        <v>23</v>
      </c>
      <c r="Q60" t="s">
        <v>25</v>
      </c>
      <c r="R60" t="s">
        <v>26</v>
      </c>
      <c r="S60" t="s">
        <v>40</v>
      </c>
      <c r="T60" t="s">
        <v>27</v>
      </c>
      <c r="U60" t="s">
        <v>41</v>
      </c>
      <c r="V60" t="s">
        <v>54</v>
      </c>
      <c r="W60" t="s">
        <v>28</v>
      </c>
      <c r="X60" t="s">
        <v>29</v>
      </c>
      <c r="Y60" t="s">
        <v>30</v>
      </c>
      <c r="Z60" t="s">
        <v>47</v>
      </c>
      <c r="AA60" t="s">
        <v>31</v>
      </c>
      <c r="AB60" t="s">
        <v>32</v>
      </c>
      <c r="AC60" t="s">
        <v>48</v>
      </c>
      <c r="AD60" t="s">
        <v>34</v>
      </c>
    </row>
    <row r="61" spans="1:31" x14ac:dyDescent="0.25">
      <c r="A61">
        <v>2020</v>
      </c>
      <c r="B61" t="s">
        <v>11</v>
      </c>
      <c r="C61" t="s">
        <v>7</v>
      </c>
      <c r="D61" t="s">
        <v>9</v>
      </c>
      <c r="E61">
        <v>4</v>
      </c>
      <c r="F61" t="s">
        <v>64</v>
      </c>
      <c r="G61" t="s">
        <v>52</v>
      </c>
      <c r="H61" t="s">
        <v>39</v>
      </c>
      <c r="I6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FA89-ED54-4B6F-B3D8-CAAF0A4A5808}">
  <dimension ref="A1:Y237"/>
  <sheetViews>
    <sheetView tabSelected="1" topLeftCell="H1" workbookViewId="0">
      <selection activeCell="Y23" sqref="Y23"/>
    </sheetView>
  </sheetViews>
  <sheetFormatPr defaultRowHeight="15" x14ac:dyDescent="0.25"/>
  <cols>
    <col min="24" max="24" width="11" bestFit="1" customWidth="1"/>
  </cols>
  <sheetData>
    <row r="1" spans="1:24" x14ac:dyDescent="0.25">
      <c r="A1" t="s">
        <v>303</v>
      </c>
      <c r="B1" t="s">
        <v>4</v>
      </c>
      <c r="D1" t="s">
        <v>303</v>
      </c>
      <c r="E1" t="s">
        <v>4</v>
      </c>
      <c r="G1" t="s">
        <v>303</v>
      </c>
      <c r="H1">
        <f>COUNT(H2:H56)</f>
        <v>55</v>
      </c>
      <c r="J1" t="s">
        <v>303</v>
      </c>
      <c r="K1">
        <f>COUNT(K2:K48)</f>
        <v>47</v>
      </c>
      <c r="M1" t="s">
        <v>303</v>
      </c>
      <c r="N1">
        <f>COUNT(N2:N38)</f>
        <v>37</v>
      </c>
      <c r="P1" t="s">
        <v>303</v>
      </c>
      <c r="Q1" t="s">
        <v>4</v>
      </c>
    </row>
    <row r="2" spans="1:24" x14ac:dyDescent="0.25">
      <c r="A2" t="s">
        <v>67</v>
      </c>
      <c r="B2">
        <f>COUNTIF(Sheet1!$F$2:$AG$60,allcase!A2)</f>
        <v>0</v>
      </c>
      <c r="D2" t="s">
        <v>143</v>
      </c>
      <c r="E2">
        <v>30</v>
      </c>
      <c r="G2" t="s">
        <v>113</v>
      </c>
      <c r="H2">
        <v>2</v>
      </c>
      <c r="J2" t="s">
        <v>138</v>
      </c>
      <c r="K2">
        <v>14</v>
      </c>
      <c r="M2" t="s">
        <v>138</v>
      </c>
      <c r="N2">
        <v>14</v>
      </c>
      <c r="P2" t="s">
        <v>113</v>
      </c>
      <c r="Q2">
        <v>2</v>
      </c>
      <c r="R2" t="s">
        <v>304</v>
      </c>
      <c r="U2">
        <f>37+1</f>
        <v>38</v>
      </c>
      <c r="V2">
        <v>32</v>
      </c>
    </row>
    <row r="3" spans="1:24" x14ac:dyDescent="0.25">
      <c r="A3" t="s">
        <v>68</v>
      </c>
      <c r="B3">
        <f>COUNTIF(Sheet1!$F$2:$AG$60,allcase!A3)</f>
        <v>0</v>
      </c>
      <c r="D3" t="s">
        <v>158</v>
      </c>
      <c r="E3">
        <v>30</v>
      </c>
      <c r="G3" t="s">
        <v>138</v>
      </c>
      <c r="H3">
        <v>14</v>
      </c>
      <c r="J3" t="s">
        <v>140</v>
      </c>
      <c r="K3">
        <v>19</v>
      </c>
      <c r="M3" t="s">
        <v>140</v>
      </c>
      <c r="N3">
        <v>19</v>
      </c>
      <c r="P3" t="s">
        <v>150</v>
      </c>
      <c r="Q3">
        <v>5</v>
      </c>
      <c r="R3" t="s">
        <v>305</v>
      </c>
      <c r="V3">
        <f>U2*V2</f>
        <v>1216</v>
      </c>
    </row>
    <row r="4" spans="1:24" x14ac:dyDescent="0.25">
      <c r="A4" t="s">
        <v>69</v>
      </c>
      <c r="B4">
        <f>COUNTIF(Sheet1!$F$2:$AG$60,allcase!A4)</f>
        <v>0</v>
      </c>
      <c r="D4" t="s">
        <v>161</v>
      </c>
      <c r="E4">
        <v>30</v>
      </c>
      <c r="G4" t="s">
        <v>140</v>
      </c>
      <c r="H4">
        <v>19</v>
      </c>
      <c r="J4" t="s">
        <v>143</v>
      </c>
      <c r="K4">
        <v>30</v>
      </c>
      <c r="M4" t="s">
        <v>143</v>
      </c>
      <c r="N4">
        <v>30</v>
      </c>
      <c r="P4" t="s">
        <v>164</v>
      </c>
      <c r="Q4">
        <v>3</v>
      </c>
      <c r="R4" t="s">
        <v>306</v>
      </c>
      <c r="U4">
        <f>37*2+2</f>
        <v>76</v>
      </c>
      <c r="V4">
        <v>500</v>
      </c>
    </row>
    <row r="5" spans="1:24" x14ac:dyDescent="0.25">
      <c r="A5" t="s">
        <v>70</v>
      </c>
      <c r="B5">
        <f>COUNTIF(Sheet1!$F$2:$AG$60,allcase!A5)</f>
        <v>0</v>
      </c>
      <c r="D5" t="s">
        <v>185</v>
      </c>
      <c r="E5">
        <v>30</v>
      </c>
      <c r="G5" t="s">
        <v>143</v>
      </c>
      <c r="H5">
        <v>30</v>
      </c>
      <c r="J5" t="s">
        <v>149</v>
      </c>
      <c r="K5">
        <v>20</v>
      </c>
      <c r="M5" t="s">
        <v>149</v>
      </c>
      <c r="N5">
        <v>20</v>
      </c>
      <c r="P5" t="s">
        <v>166</v>
      </c>
      <c r="Q5">
        <v>1</v>
      </c>
      <c r="R5" t="s">
        <v>307</v>
      </c>
      <c r="V5">
        <f>U4*V4</f>
        <v>38000</v>
      </c>
    </row>
    <row r="6" spans="1:24" x14ac:dyDescent="0.25">
      <c r="A6" t="s">
        <v>71</v>
      </c>
      <c r="B6">
        <f>COUNTIF(Sheet1!$F$2:$AG$60,allcase!A6)</f>
        <v>0</v>
      </c>
      <c r="D6" t="s">
        <v>238</v>
      </c>
      <c r="E6">
        <v>30</v>
      </c>
      <c r="G6" t="s">
        <v>149</v>
      </c>
      <c r="H6">
        <v>20</v>
      </c>
      <c r="J6" t="s">
        <v>150</v>
      </c>
      <c r="K6">
        <v>5</v>
      </c>
      <c r="M6" t="s">
        <v>152</v>
      </c>
      <c r="N6">
        <v>11</v>
      </c>
      <c r="P6" t="s">
        <v>167</v>
      </c>
      <c r="Q6">
        <v>5</v>
      </c>
      <c r="R6" t="s">
        <v>304</v>
      </c>
    </row>
    <row r="7" spans="1:24" x14ac:dyDescent="0.25">
      <c r="A7" t="s">
        <v>72</v>
      </c>
      <c r="B7">
        <f>COUNTIF(Sheet1!$F$2:$AG$60,allcase!A7)</f>
        <v>0</v>
      </c>
      <c r="D7" t="s">
        <v>244</v>
      </c>
      <c r="E7">
        <v>30</v>
      </c>
      <c r="G7" t="s">
        <v>150</v>
      </c>
      <c r="H7">
        <v>5</v>
      </c>
      <c r="J7" t="s">
        <v>152</v>
      </c>
      <c r="K7">
        <v>11</v>
      </c>
      <c r="M7" t="s">
        <v>155</v>
      </c>
      <c r="N7">
        <v>23</v>
      </c>
      <c r="P7" t="s">
        <v>168</v>
      </c>
      <c r="Q7">
        <v>9</v>
      </c>
      <c r="R7" t="s">
        <v>305</v>
      </c>
      <c r="V7">
        <v>28672</v>
      </c>
      <c r="W7">
        <f>V7/800</f>
        <v>35.840000000000003</v>
      </c>
      <c r="X7">
        <f>V7/400</f>
        <v>71.680000000000007</v>
      </c>
    </row>
    <row r="8" spans="1:24" x14ac:dyDescent="0.25">
      <c r="A8" t="s">
        <v>73</v>
      </c>
      <c r="B8">
        <f>COUNTIF(Sheet1!$F$2:$AG$60,allcase!A8)</f>
        <v>0</v>
      </c>
      <c r="D8" t="s">
        <v>247</v>
      </c>
      <c r="E8">
        <v>30</v>
      </c>
      <c r="G8" t="s">
        <v>152</v>
      </c>
      <c r="H8">
        <v>11</v>
      </c>
      <c r="J8" t="s">
        <v>155</v>
      </c>
      <c r="K8">
        <v>23</v>
      </c>
      <c r="M8" t="s">
        <v>156</v>
      </c>
      <c r="N8">
        <v>22</v>
      </c>
      <c r="P8" t="s">
        <v>170</v>
      </c>
      <c r="Q8">
        <v>5</v>
      </c>
      <c r="R8" t="s">
        <v>306</v>
      </c>
    </row>
    <row r="9" spans="1:24" x14ac:dyDescent="0.25">
      <c r="A9" t="s">
        <v>74</v>
      </c>
      <c r="B9">
        <f>COUNTIF(Sheet1!$F$2:$AG$60,allcase!A9)</f>
        <v>0</v>
      </c>
      <c r="D9" t="s">
        <v>259</v>
      </c>
      <c r="E9">
        <v>30</v>
      </c>
      <c r="G9" t="s">
        <v>155</v>
      </c>
      <c r="H9">
        <v>23</v>
      </c>
      <c r="J9" t="s">
        <v>156</v>
      </c>
      <c r="K9">
        <v>22</v>
      </c>
      <c r="M9" t="s">
        <v>158</v>
      </c>
      <c r="N9">
        <v>30</v>
      </c>
      <c r="P9" t="s">
        <v>176</v>
      </c>
      <c r="Q9">
        <v>7</v>
      </c>
      <c r="R9" t="s">
        <v>306</v>
      </c>
    </row>
    <row r="10" spans="1:24" x14ac:dyDescent="0.25">
      <c r="A10" t="s">
        <v>75</v>
      </c>
      <c r="B10">
        <f>COUNTIF(Sheet1!$F$2:$AG$60,allcase!A10)</f>
        <v>0</v>
      </c>
      <c r="D10" t="s">
        <v>287</v>
      </c>
      <c r="E10">
        <v>30</v>
      </c>
      <c r="G10" t="s">
        <v>156</v>
      </c>
      <c r="H10">
        <v>22</v>
      </c>
      <c r="J10" t="s">
        <v>158</v>
      </c>
      <c r="K10">
        <v>30</v>
      </c>
      <c r="M10" t="s">
        <v>160</v>
      </c>
      <c r="N10">
        <v>13</v>
      </c>
      <c r="P10" t="s">
        <v>180</v>
      </c>
      <c r="Q10">
        <v>6</v>
      </c>
      <c r="R10" t="s">
        <v>305</v>
      </c>
    </row>
    <row r="11" spans="1:24" x14ac:dyDescent="0.25">
      <c r="A11" t="s">
        <v>76</v>
      </c>
      <c r="B11">
        <f>COUNTIF(Sheet1!$F$2:$AG$60,allcase!A11)</f>
        <v>0</v>
      </c>
      <c r="D11" t="s">
        <v>253</v>
      </c>
      <c r="E11">
        <v>29</v>
      </c>
      <c r="G11" t="s">
        <v>158</v>
      </c>
      <c r="H11">
        <v>30</v>
      </c>
      <c r="J11" t="s">
        <v>160</v>
      </c>
      <c r="K11">
        <v>13</v>
      </c>
      <c r="M11" t="s">
        <v>161</v>
      </c>
      <c r="N11">
        <v>30</v>
      </c>
      <c r="P11" t="s">
        <v>232</v>
      </c>
      <c r="Q11">
        <v>9</v>
      </c>
      <c r="R11" t="s">
        <v>308</v>
      </c>
      <c r="V11" t="s">
        <v>312</v>
      </c>
      <c r="W11" t="s">
        <v>311</v>
      </c>
      <c r="X11" t="s">
        <v>313</v>
      </c>
    </row>
    <row r="12" spans="1:24" x14ac:dyDescent="0.25">
      <c r="A12" t="s">
        <v>77</v>
      </c>
      <c r="B12">
        <f>COUNTIF(Sheet1!$F$2:$AG$60,allcase!A12)</f>
        <v>0</v>
      </c>
      <c r="D12" t="s">
        <v>284</v>
      </c>
      <c r="E12">
        <v>29</v>
      </c>
      <c r="G12" t="s">
        <v>160</v>
      </c>
      <c r="H12">
        <v>13</v>
      </c>
      <c r="J12" t="s">
        <v>161</v>
      </c>
      <c r="K12">
        <v>30</v>
      </c>
      <c r="M12" t="s">
        <v>172</v>
      </c>
      <c r="N12">
        <v>14</v>
      </c>
      <c r="P12" t="s">
        <v>239</v>
      </c>
      <c r="Q12">
        <v>1</v>
      </c>
      <c r="R12" t="s">
        <v>309</v>
      </c>
      <c r="X12" t="s">
        <v>314</v>
      </c>
    </row>
    <row r="13" spans="1:24" x14ac:dyDescent="0.25">
      <c r="A13" t="s">
        <v>78</v>
      </c>
      <c r="B13">
        <f>COUNTIF(Sheet1!$F$2:$AG$60,allcase!A13)</f>
        <v>0</v>
      </c>
      <c r="D13" t="s">
        <v>286</v>
      </c>
      <c r="E13">
        <v>29</v>
      </c>
      <c r="G13" t="s">
        <v>161</v>
      </c>
      <c r="H13">
        <v>30</v>
      </c>
      <c r="J13" t="s">
        <v>167</v>
      </c>
      <c r="K13">
        <v>5</v>
      </c>
      <c r="M13" t="s">
        <v>173</v>
      </c>
      <c r="N13">
        <v>25</v>
      </c>
      <c r="P13" t="s">
        <v>245</v>
      </c>
      <c r="Q13">
        <v>1</v>
      </c>
      <c r="R13" t="s">
        <v>309</v>
      </c>
      <c r="V13" t="s">
        <v>315</v>
      </c>
    </row>
    <row r="14" spans="1:24" x14ac:dyDescent="0.25">
      <c r="A14" t="s">
        <v>79</v>
      </c>
      <c r="B14">
        <f>COUNTIF(Sheet1!$F$2:$AG$60,allcase!A14)</f>
        <v>0</v>
      </c>
      <c r="D14" t="s">
        <v>291</v>
      </c>
      <c r="E14">
        <v>29</v>
      </c>
      <c r="G14" t="s">
        <v>164</v>
      </c>
      <c r="H14">
        <v>3</v>
      </c>
      <c r="J14" t="s">
        <v>168</v>
      </c>
      <c r="K14">
        <v>9</v>
      </c>
      <c r="M14" t="s">
        <v>178</v>
      </c>
      <c r="N14">
        <v>11</v>
      </c>
      <c r="P14" t="s">
        <v>250</v>
      </c>
      <c r="Q14">
        <v>3</v>
      </c>
      <c r="R14" t="s">
        <v>308</v>
      </c>
      <c r="V14" t="s">
        <v>316</v>
      </c>
    </row>
    <row r="15" spans="1:24" x14ac:dyDescent="0.25">
      <c r="A15" t="s">
        <v>80</v>
      </c>
      <c r="B15">
        <f>COUNTIF(Sheet1!$F$2:$AG$60,allcase!A15)</f>
        <v>0</v>
      </c>
      <c r="D15" t="s">
        <v>285</v>
      </c>
      <c r="E15">
        <v>27</v>
      </c>
      <c r="G15" t="s">
        <v>166</v>
      </c>
      <c r="H15">
        <v>1</v>
      </c>
      <c r="J15" t="s">
        <v>170</v>
      </c>
      <c r="K15">
        <v>5</v>
      </c>
      <c r="M15" t="s">
        <v>179</v>
      </c>
      <c r="N15">
        <v>17</v>
      </c>
      <c r="P15" t="s">
        <v>257</v>
      </c>
      <c r="Q15">
        <v>1</v>
      </c>
      <c r="R15" t="s">
        <v>309</v>
      </c>
      <c r="V15" t="s">
        <v>317</v>
      </c>
      <c r="W15" t="s">
        <v>318</v>
      </c>
    </row>
    <row r="16" spans="1:24" x14ac:dyDescent="0.25">
      <c r="A16" t="s">
        <v>81</v>
      </c>
      <c r="B16">
        <f>COUNTIF(Sheet1!$F$2:$AG$60,allcase!A16)</f>
        <v>0</v>
      </c>
      <c r="D16" t="s">
        <v>281</v>
      </c>
      <c r="E16">
        <v>26</v>
      </c>
      <c r="G16" t="s">
        <v>167</v>
      </c>
      <c r="H16">
        <v>5</v>
      </c>
      <c r="J16" t="s">
        <v>172</v>
      </c>
      <c r="K16">
        <v>14</v>
      </c>
      <c r="M16" t="s">
        <v>182</v>
      </c>
      <c r="N16">
        <v>24</v>
      </c>
      <c r="P16" t="s">
        <v>260</v>
      </c>
      <c r="Q16">
        <v>3</v>
      </c>
      <c r="R16" t="s">
        <v>309</v>
      </c>
      <c r="V16" t="s">
        <v>319</v>
      </c>
      <c r="W16" t="s">
        <v>320</v>
      </c>
    </row>
    <row r="17" spans="1:25" x14ac:dyDescent="0.25">
      <c r="A17" t="s">
        <v>82</v>
      </c>
      <c r="B17">
        <f>COUNTIF(Sheet1!$F$2:$AG$60,allcase!A17)</f>
        <v>0</v>
      </c>
      <c r="D17" t="s">
        <v>173</v>
      </c>
      <c r="E17">
        <v>25</v>
      </c>
      <c r="G17" t="s">
        <v>168</v>
      </c>
      <c r="H17">
        <v>9</v>
      </c>
      <c r="J17" t="s">
        <v>173</v>
      </c>
      <c r="K17">
        <v>25</v>
      </c>
      <c r="M17" t="s">
        <v>184</v>
      </c>
      <c r="N17">
        <v>24</v>
      </c>
      <c r="P17" t="s">
        <v>279</v>
      </c>
      <c r="Q17">
        <v>6</v>
      </c>
      <c r="R17" t="s">
        <v>310</v>
      </c>
      <c r="V17" t="s">
        <v>321</v>
      </c>
      <c r="W17" t="s">
        <v>322</v>
      </c>
    </row>
    <row r="18" spans="1:25" x14ac:dyDescent="0.25">
      <c r="A18" t="s">
        <v>83</v>
      </c>
      <c r="B18">
        <f>COUNTIF(Sheet1!$F$2:$AG$60,allcase!A18)</f>
        <v>0</v>
      </c>
      <c r="D18" t="s">
        <v>182</v>
      </c>
      <c r="E18">
        <v>24</v>
      </c>
      <c r="G18" t="s">
        <v>170</v>
      </c>
      <c r="H18">
        <v>5</v>
      </c>
      <c r="J18" t="s">
        <v>176</v>
      </c>
      <c r="K18">
        <v>7</v>
      </c>
      <c r="M18" t="s">
        <v>185</v>
      </c>
      <c r="N18">
        <v>30</v>
      </c>
      <c r="P18" t="s">
        <v>280</v>
      </c>
      <c r="Q18">
        <v>8</v>
      </c>
      <c r="R18" t="s">
        <v>310</v>
      </c>
      <c r="V18" t="s">
        <v>323</v>
      </c>
      <c r="W18" t="s">
        <v>320</v>
      </c>
    </row>
    <row r="19" spans="1:25" x14ac:dyDescent="0.25">
      <c r="A19" t="s">
        <v>84</v>
      </c>
      <c r="B19">
        <f>COUNTIF(Sheet1!$F$2:$AG$60,allcase!A19)</f>
        <v>0</v>
      </c>
      <c r="D19" t="s">
        <v>184</v>
      </c>
      <c r="E19">
        <v>24</v>
      </c>
      <c r="G19" t="s">
        <v>172</v>
      </c>
      <c r="H19">
        <v>14</v>
      </c>
      <c r="J19" t="s">
        <v>178</v>
      </c>
      <c r="K19">
        <v>11</v>
      </c>
      <c r="M19" t="s">
        <v>223</v>
      </c>
      <c r="N19">
        <v>15</v>
      </c>
      <c r="P19" t="s">
        <v>288</v>
      </c>
      <c r="Q19">
        <v>9</v>
      </c>
      <c r="R19" t="s">
        <v>310</v>
      </c>
      <c r="V19" t="s">
        <v>324</v>
      </c>
      <c r="W19" t="s">
        <v>320</v>
      </c>
    </row>
    <row r="20" spans="1:25" x14ac:dyDescent="0.25">
      <c r="A20" t="s">
        <v>85</v>
      </c>
      <c r="B20">
        <f>COUNTIF(Sheet1!$F$2:$AG$60,allcase!A20)</f>
        <v>0</v>
      </c>
      <c r="D20" t="s">
        <v>155</v>
      </c>
      <c r="E20">
        <v>23</v>
      </c>
      <c r="G20" t="s">
        <v>173</v>
      </c>
      <c r="H20">
        <v>25</v>
      </c>
      <c r="J20" t="s">
        <v>179</v>
      </c>
      <c r="K20">
        <v>17</v>
      </c>
      <c r="M20" t="s">
        <v>226</v>
      </c>
      <c r="N20">
        <v>13</v>
      </c>
      <c r="V20" t="s">
        <v>325</v>
      </c>
    </row>
    <row r="21" spans="1:25" x14ac:dyDescent="0.25">
      <c r="A21" t="s">
        <v>86</v>
      </c>
      <c r="B21">
        <f>COUNTIF(Sheet1!$F$2:$AG$60,allcase!A21)</f>
        <v>0</v>
      </c>
      <c r="D21" t="s">
        <v>229</v>
      </c>
      <c r="E21">
        <v>23</v>
      </c>
      <c r="G21" t="s">
        <v>176</v>
      </c>
      <c r="H21">
        <v>7</v>
      </c>
      <c r="J21" t="s">
        <v>180</v>
      </c>
      <c r="K21">
        <v>6</v>
      </c>
      <c r="M21" t="s">
        <v>229</v>
      </c>
      <c r="N21">
        <v>23</v>
      </c>
      <c r="V21">
        <v>45</v>
      </c>
      <c r="W21">
        <v>72</v>
      </c>
      <c r="X21">
        <f>V21*W21</f>
        <v>3240</v>
      </c>
      <c r="Y21" t="s">
        <v>326</v>
      </c>
    </row>
    <row r="22" spans="1:25" x14ac:dyDescent="0.25">
      <c r="A22" t="s">
        <v>87</v>
      </c>
      <c r="B22">
        <f>COUNTIF(Sheet1!$F$2:$AG$60,allcase!A22)</f>
        <v>0</v>
      </c>
      <c r="D22" t="s">
        <v>156</v>
      </c>
      <c r="E22">
        <v>22</v>
      </c>
      <c r="G22" t="s">
        <v>178</v>
      </c>
      <c r="H22">
        <v>11</v>
      </c>
      <c r="J22" t="s">
        <v>182</v>
      </c>
      <c r="K22">
        <v>24</v>
      </c>
      <c r="M22" t="s">
        <v>238</v>
      </c>
      <c r="N22">
        <v>30</v>
      </c>
      <c r="X22">
        <f>28672/X21</f>
        <v>8.8493827160493819</v>
      </c>
      <c r="Y22" t="s">
        <v>327</v>
      </c>
    </row>
    <row r="23" spans="1:25" x14ac:dyDescent="0.25">
      <c r="A23" t="s">
        <v>88</v>
      </c>
      <c r="B23">
        <f>COUNTIF(Sheet1!$F$2:$AG$60,allcase!A23)</f>
        <v>0</v>
      </c>
      <c r="D23" t="s">
        <v>290</v>
      </c>
      <c r="E23">
        <v>22</v>
      </c>
      <c r="G23" t="s">
        <v>179</v>
      </c>
      <c r="H23">
        <v>17</v>
      </c>
      <c r="J23" t="s">
        <v>184</v>
      </c>
      <c r="K23">
        <v>24</v>
      </c>
      <c r="M23" t="s">
        <v>241</v>
      </c>
      <c r="N23">
        <v>15</v>
      </c>
    </row>
    <row r="24" spans="1:25" x14ac:dyDescent="0.25">
      <c r="A24" t="s">
        <v>89</v>
      </c>
      <c r="B24">
        <f>COUNTIF(Sheet1!$F$2:$AG$60,allcase!A24)</f>
        <v>0</v>
      </c>
      <c r="D24" t="s">
        <v>149</v>
      </c>
      <c r="E24">
        <v>20</v>
      </c>
      <c r="G24" t="s">
        <v>180</v>
      </c>
      <c r="H24">
        <v>6</v>
      </c>
      <c r="J24" t="s">
        <v>185</v>
      </c>
      <c r="K24">
        <v>30</v>
      </c>
      <c r="M24" t="s">
        <v>244</v>
      </c>
      <c r="N24">
        <v>30</v>
      </c>
    </row>
    <row r="25" spans="1:25" x14ac:dyDescent="0.25">
      <c r="A25" t="s">
        <v>90</v>
      </c>
      <c r="B25">
        <f>COUNTIF(Sheet1!$F$2:$AG$60,allcase!A25)</f>
        <v>0</v>
      </c>
      <c r="D25" t="s">
        <v>140</v>
      </c>
      <c r="E25">
        <v>19</v>
      </c>
      <c r="G25" t="s">
        <v>182</v>
      </c>
      <c r="H25">
        <v>24</v>
      </c>
      <c r="J25" t="s">
        <v>223</v>
      </c>
      <c r="K25">
        <v>15</v>
      </c>
      <c r="M25" t="s">
        <v>247</v>
      </c>
      <c r="N25">
        <v>30</v>
      </c>
    </row>
    <row r="26" spans="1:25" x14ac:dyDescent="0.25">
      <c r="A26" t="s">
        <v>91</v>
      </c>
      <c r="B26">
        <f>COUNTIF(Sheet1!$F$2:$AG$60,allcase!A26)</f>
        <v>0</v>
      </c>
      <c r="D26" t="s">
        <v>179</v>
      </c>
      <c r="E26">
        <v>17</v>
      </c>
      <c r="G26" t="s">
        <v>184</v>
      </c>
      <c r="H26">
        <v>24</v>
      </c>
      <c r="J26" t="s">
        <v>226</v>
      </c>
      <c r="K26">
        <v>13</v>
      </c>
      <c r="M26" t="s">
        <v>248</v>
      </c>
      <c r="N26">
        <v>11</v>
      </c>
    </row>
    <row r="27" spans="1:25" x14ac:dyDescent="0.25">
      <c r="A27" t="s">
        <v>92</v>
      </c>
      <c r="B27">
        <f>COUNTIF(Sheet1!$F$2:$AG$60,allcase!A27)</f>
        <v>0</v>
      </c>
      <c r="D27" t="s">
        <v>256</v>
      </c>
      <c r="E27">
        <v>17</v>
      </c>
      <c r="G27" t="s">
        <v>185</v>
      </c>
      <c r="H27">
        <v>30</v>
      </c>
      <c r="J27" t="s">
        <v>229</v>
      </c>
      <c r="K27">
        <v>23</v>
      </c>
      <c r="M27" t="s">
        <v>253</v>
      </c>
      <c r="N27">
        <v>29</v>
      </c>
    </row>
    <row r="28" spans="1:25" x14ac:dyDescent="0.25">
      <c r="A28" t="s">
        <v>93</v>
      </c>
      <c r="B28">
        <f>COUNTIF(Sheet1!$F$2:$AG$60,allcase!A28)</f>
        <v>0</v>
      </c>
      <c r="D28" t="s">
        <v>223</v>
      </c>
      <c r="E28">
        <v>15</v>
      </c>
      <c r="G28" t="s">
        <v>223</v>
      </c>
      <c r="H28">
        <v>15</v>
      </c>
      <c r="J28" t="s">
        <v>232</v>
      </c>
      <c r="K28">
        <v>9</v>
      </c>
      <c r="M28" t="s">
        <v>256</v>
      </c>
      <c r="N28">
        <v>17</v>
      </c>
    </row>
    <row r="29" spans="1:25" x14ac:dyDescent="0.25">
      <c r="A29" t="s">
        <v>94</v>
      </c>
      <c r="B29">
        <f>COUNTIF(Sheet1!$F$2:$AG$60,allcase!A29)</f>
        <v>0</v>
      </c>
      <c r="D29" t="s">
        <v>241</v>
      </c>
      <c r="E29">
        <v>15</v>
      </c>
      <c r="G29" t="s">
        <v>226</v>
      </c>
      <c r="H29">
        <v>13</v>
      </c>
      <c r="J29" t="s">
        <v>238</v>
      </c>
      <c r="K29">
        <v>30</v>
      </c>
      <c r="M29" t="s">
        <v>259</v>
      </c>
      <c r="N29">
        <v>30</v>
      </c>
    </row>
    <row r="30" spans="1:25" x14ac:dyDescent="0.25">
      <c r="A30" t="s">
        <v>95</v>
      </c>
      <c r="B30">
        <f>COUNTIF(Sheet1!$F$2:$AG$60,allcase!A30)</f>
        <v>0</v>
      </c>
      <c r="D30" t="s">
        <v>289</v>
      </c>
      <c r="E30">
        <v>15</v>
      </c>
      <c r="G30" t="s">
        <v>229</v>
      </c>
      <c r="H30">
        <v>23</v>
      </c>
      <c r="J30" t="s">
        <v>241</v>
      </c>
      <c r="K30">
        <v>15</v>
      </c>
      <c r="M30" t="s">
        <v>281</v>
      </c>
      <c r="N30">
        <v>26</v>
      </c>
    </row>
    <row r="31" spans="1:25" x14ac:dyDescent="0.25">
      <c r="A31" t="s">
        <v>96</v>
      </c>
      <c r="B31">
        <f>COUNTIF(Sheet1!$F$2:$AG$60,allcase!A31)</f>
        <v>0</v>
      </c>
      <c r="D31" t="s">
        <v>138</v>
      </c>
      <c r="E31">
        <v>14</v>
      </c>
      <c r="G31" t="s">
        <v>232</v>
      </c>
      <c r="H31">
        <v>9</v>
      </c>
      <c r="J31" t="s">
        <v>244</v>
      </c>
      <c r="K31">
        <v>30</v>
      </c>
      <c r="M31" t="s">
        <v>282</v>
      </c>
      <c r="N31">
        <v>12</v>
      </c>
    </row>
    <row r="32" spans="1:25" x14ac:dyDescent="0.25">
      <c r="A32" t="s">
        <v>97</v>
      </c>
      <c r="B32">
        <f>COUNTIF(Sheet1!$F$2:$AG$60,allcase!A32)</f>
        <v>0</v>
      </c>
      <c r="D32" t="s">
        <v>172</v>
      </c>
      <c r="E32">
        <v>14</v>
      </c>
      <c r="G32" t="s">
        <v>238</v>
      </c>
      <c r="H32">
        <v>30</v>
      </c>
      <c r="J32" t="s">
        <v>247</v>
      </c>
      <c r="K32">
        <v>30</v>
      </c>
      <c r="M32" t="s">
        <v>284</v>
      </c>
      <c r="N32">
        <v>29</v>
      </c>
    </row>
    <row r="33" spans="1:14" x14ac:dyDescent="0.25">
      <c r="A33" t="s">
        <v>98</v>
      </c>
      <c r="B33">
        <f>COUNTIF(Sheet1!$F$2:$AG$60,allcase!A33)</f>
        <v>0</v>
      </c>
      <c r="D33" t="s">
        <v>160</v>
      </c>
      <c r="E33">
        <v>13</v>
      </c>
      <c r="G33" t="s">
        <v>239</v>
      </c>
      <c r="H33">
        <v>1</v>
      </c>
      <c r="J33" t="s">
        <v>248</v>
      </c>
      <c r="K33">
        <v>11</v>
      </c>
      <c r="M33" t="s">
        <v>285</v>
      </c>
      <c r="N33">
        <v>27</v>
      </c>
    </row>
    <row r="34" spans="1:14" x14ac:dyDescent="0.25">
      <c r="A34" t="s">
        <v>99</v>
      </c>
      <c r="B34">
        <f>COUNTIF(Sheet1!$F$2:$AG$60,allcase!A34)</f>
        <v>0</v>
      </c>
      <c r="D34" t="s">
        <v>226</v>
      </c>
      <c r="E34">
        <v>13</v>
      </c>
      <c r="G34" t="s">
        <v>241</v>
      </c>
      <c r="H34">
        <v>15</v>
      </c>
      <c r="J34" t="s">
        <v>253</v>
      </c>
      <c r="K34">
        <v>29</v>
      </c>
      <c r="M34" t="s">
        <v>286</v>
      </c>
      <c r="N34">
        <v>29</v>
      </c>
    </row>
    <row r="35" spans="1:14" x14ac:dyDescent="0.25">
      <c r="A35" t="s">
        <v>100</v>
      </c>
      <c r="B35">
        <f>COUNTIF(Sheet1!$F$2:$AG$60,allcase!A35)</f>
        <v>0</v>
      </c>
      <c r="D35" t="s">
        <v>282</v>
      </c>
      <c r="E35">
        <v>12</v>
      </c>
      <c r="G35" t="s">
        <v>244</v>
      </c>
      <c r="H35">
        <v>30</v>
      </c>
      <c r="J35" t="s">
        <v>256</v>
      </c>
      <c r="K35">
        <v>17</v>
      </c>
      <c r="M35" t="s">
        <v>287</v>
      </c>
      <c r="N35">
        <v>30</v>
      </c>
    </row>
    <row r="36" spans="1:14" x14ac:dyDescent="0.25">
      <c r="A36" t="s">
        <v>101</v>
      </c>
      <c r="B36">
        <f>COUNTIF(Sheet1!$F$2:$AG$60,allcase!A36)</f>
        <v>0</v>
      </c>
      <c r="D36" t="s">
        <v>152</v>
      </c>
      <c r="E36">
        <v>11</v>
      </c>
      <c r="G36" t="s">
        <v>245</v>
      </c>
      <c r="H36">
        <v>1</v>
      </c>
      <c r="J36" t="s">
        <v>259</v>
      </c>
      <c r="K36">
        <v>30</v>
      </c>
      <c r="M36" t="s">
        <v>289</v>
      </c>
      <c r="N36">
        <v>15</v>
      </c>
    </row>
    <row r="37" spans="1:14" x14ac:dyDescent="0.25">
      <c r="A37" t="s">
        <v>102</v>
      </c>
      <c r="B37">
        <f>COUNTIF(Sheet1!$F$2:$AG$60,allcase!A37)</f>
        <v>0</v>
      </c>
      <c r="D37" t="s">
        <v>178</v>
      </c>
      <c r="E37">
        <v>11</v>
      </c>
      <c r="G37" t="s">
        <v>247</v>
      </c>
      <c r="H37">
        <v>30</v>
      </c>
      <c r="J37" t="s">
        <v>279</v>
      </c>
      <c r="K37">
        <v>6</v>
      </c>
      <c r="M37" t="s">
        <v>290</v>
      </c>
      <c r="N37">
        <v>22</v>
      </c>
    </row>
    <row r="38" spans="1:14" x14ac:dyDescent="0.25">
      <c r="A38" t="s">
        <v>103</v>
      </c>
      <c r="B38">
        <f>COUNTIF(Sheet1!$F$2:$AG$60,allcase!A38)</f>
        <v>0</v>
      </c>
      <c r="D38" t="s">
        <v>248</v>
      </c>
      <c r="E38">
        <v>11</v>
      </c>
      <c r="G38" t="s">
        <v>248</v>
      </c>
      <c r="H38">
        <v>11</v>
      </c>
      <c r="J38" t="s">
        <v>280</v>
      </c>
      <c r="K38">
        <v>8</v>
      </c>
      <c r="M38" t="s">
        <v>291</v>
      </c>
      <c r="N38">
        <v>29</v>
      </c>
    </row>
    <row r="39" spans="1:14" x14ac:dyDescent="0.25">
      <c r="A39" t="s">
        <v>104</v>
      </c>
      <c r="B39">
        <f>COUNTIF(Sheet1!$F$2:$AG$60,allcase!A39)</f>
        <v>0</v>
      </c>
      <c r="D39" t="s">
        <v>168</v>
      </c>
      <c r="E39">
        <v>9</v>
      </c>
      <c r="G39" t="s">
        <v>250</v>
      </c>
      <c r="H39">
        <v>3</v>
      </c>
      <c r="J39" t="s">
        <v>281</v>
      </c>
      <c r="K39">
        <v>26</v>
      </c>
    </row>
    <row r="40" spans="1:14" x14ac:dyDescent="0.25">
      <c r="A40" t="s">
        <v>105</v>
      </c>
      <c r="B40">
        <f>COUNTIF(Sheet1!$F$2:$AG$60,allcase!A40)</f>
        <v>0</v>
      </c>
      <c r="D40" t="s">
        <v>232</v>
      </c>
      <c r="E40">
        <v>9</v>
      </c>
      <c r="G40" t="s">
        <v>253</v>
      </c>
      <c r="H40">
        <v>29</v>
      </c>
      <c r="J40" t="s">
        <v>282</v>
      </c>
      <c r="K40">
        <v>12</v>
      </c>
    </row>
    <row r="41" spans="1:14" x14ac:dyDescent="0.25">
      <c r="A41" t="s">
        <v>106</v>
      </c>
      <c r="B41">
        <f>COUNTIF(Sheet1!$F$2:$AG$60,allcase!A41)</f>
        <v>0</v>
      </c>
      <c r="D41" t="s">
        <v>288</v>
      </c>
      <c r="E41">
        <v>9</v>
      </c>
      <c r="G41" t="s">
        <v>256</v>
      </c>
      <c r="H41">
        <v>17</v>
      </c>
      <c r="J41" t="s">
        <v>284</v>
      </c>
      <c r="K41">
        <v>29</v>
      </c>
    </row>
    <row r="42" spans="1:14" x14ac:dyDescent="0.25">
      <c r="A42" t="s">
        <v>107</v>
      </c>
      <c r="B42">
        <f>COUNTIF(Sheet1!$F$2:$AG$60,allcase!A42)</f>
        <v>0</v>
      </c>
      <c r="D42" t="s">
        <v>280</v>
      </c>
      <c r="E42">
        <v>8</v>
      </c>
      <c r="G42" t="s">
        <v>257</v>
      </c>
      <c r="H42">
        <v>1</v>
      </c>
      <c r="J42" t="s">
        <v>285</v>
      </c>
      <c r="K42">
        <v>27</v>
      </c>
    </row>
    <row r="43" spans="1:14" x14ac:dyDescent="0.25">
      <c r="A43" t="s">
        <v>108</v>
      </c>
      <c r="B43">
        <f>COUNTIF(Sheet1!$F$2:$AG$60,allcase!A43)</f>
        <v>0</v>
      </c>
      <c r="D43" t="s">
        <v>176</v>
      </c>
      <c r="E43">
        <v>7</v>
      </c>
      <c r="G43" t="s">
        <v>259</v>
      </c>
      <c r="H43">
        <v>30</v>
      </c>
      <c r="J43" t="s">
        <v>286</v>
      </c>
      <c r="K43">
        <v>29</v>
      </c>
    </row>
    <row r="44" spans="1:14" x14ac:dyDescent="0.25">
      <c r="A44" t="s">
        <v>109</v>
      </c>
      <c r="B44">
        <f>COUNTIF(Sheet1!$F$2:$AG$60,allcase!A44)</f>
        <v>0</v>
      </c>
      <c r="D44" t="s">
        <v>180</v>
      </c>
      <c r="E44">
        <v>6</v>
      </c>
      <c r="G44" t="s">
        <v>260</v>
      </c>
      <c r="H44">
        <v>3</v>
      </c>
      <c r="J44" t="s">
        <v>287</v>
      </c>
      <c r="K44">
        <v>30</v>
      </c>
    </row>
    <row r="45" spans="1:14" x14ac:dyDescent="0.25">
      <c r="A45" t="s">
        <v>110</v>
      </c>
      <c r="B45">
        <f>COUNTIF(Sheet1!$F$2:$AG$60,allcase!A45)</f>
        <v>0</v>
      </c>
      <c r="D45" t="s">
        <v>279</v>
      </c>
      <c r="E45">
        <v>6</v>
      </c>
      <c r="G45" t="s">
        <v>279</v>
      </c>
      <c r="H45">
        <v>6</v>
      </c>
      <c r="J45" t="s">
        <v>288</v>
      </c>
      <c r="K45">
        <v>9</v>
      </c>
    </row>
    <row r="46" spans="1:14" x14ac:dyDescent="0.25">
      <c r="A46" t="s">
        <v>111</v>
      </c>
      <c r="B46">
        <f>COUNTIF(Sheet1!$F$2:$AG$60,allcase!A46)</f>
        <v>0</v>
      </c>
      <c r="D46" t="s">
        <v>150</v>
      </c>
      <c r="E46">
        <v>5</v>
      </c>
      <c r="G46" t="s">
        <v>280</v>
      </c>
      <c r="H46">
        <v>8</v>
      </c>
      <c r="J46" t="s">
        <v>289</v>
      </c>
      <c r="K46">
        <v>15</v>
      </c>
    </row>
    <row r="47" spans="1:14" x14ac:dyDescent="0.25">
      <c r="A47" t="s">
        <v>112</v>
      </c>
      <c r="B47">
        <f>COUNTIF(Sheet1!$F$2:$AG$60,allcase!A47)</f>
        <v>0</v>
      </c>
      <c r="D47" t="s">
        <v>167</v>
      </c>
      <c r="E47">
        <v>5</v>
      </c>
      <c r="G47" t="s">
        <v>281</v>
      </c>
      <c r="H47">
        <v>26</v>
      </c>
      <c r="J47" t="s">
        <v>290</v>
      </c>
      <c r="K47">
        <v>22</v>
      </c>
    </row>
    <row r="48" spans="1:14" x14ac:dyDescent="0.25">
      <c r="A48" t="s">
        <v>113</v>
      </c>
      <c r="B48">
        <f>COUNTIF(Sheet1!$F$2:$AG$60,allcase!A48)</f>
        <v>2</v>
      </c>
      <c r="D48" t="s">
        <v>170</v>
      </c>
      <c r="E48">
        <v>5</v>
      </c>
      <c r="G48" t="s">
        <v>282</v>
      </c>
      <c r="H48">
        <v>12</v>
      </c>
      <c r="J48" t="s">
        <v>291</v>
      </c>
      <c r="K48">
        <v>29</v>
      </c>
    </row>
    <row r="49" spans="1:8" x14ac:dyDescent="0.25">
      <c r="A49" t="s">
        <v>114</v>
      </c>
      <c r="B49">
        <f>COUNTIF(Sheet1!$F$2:$AG$60,allcase!A49)</f>
        <v>0</v>
      </c>
      <c r="D49" t="s">
        <v>164</v>
      </c>
      <c r="E49">
        <v>3</v>
      </c>
      <c r="G49" t="s">
        <v>284</v>
      </c>
      <c r="H49">
        <v>29</v>
      </c>
    </row>
    <row r="50" spans="1:8" x14ac:dyDescent="0.25">
      <c r="A50" t="s">
        <v>115</v>
      </c>
      <c r="B50">
        <f>COUNTIF(Sheet1!$F$2:$AG$60,allcase!A50)</f>
        <v>0</v>
      </c>
      <c r="D50" t="s">
        <v>250</v>
      </c>
      <c r="E50">
        <v>3</v>
      </c>
      <c r="G50" t="s">
        <v>285</v>
      </c>
      <c r="H50">
        <v>27</v>
      </c>
    </row>
    <row r="51" spans="1:8" x14ac:dyDescent="0.25">
      <c r="A51" t="s">
        <v>116</v>
      </c>
      <c r="B51">
        <f>COUNTIF(Sheet1!$F$2:$AG$60,allcase!A51)</f>
        <v>0</v>
      </c>
      <c r="D51" t="s">
        <v>260</v>
      </c>
      <c r="E51">
        <v>3</v>
      </c>
      <c r="G51" t="s">
        <v>286</v>
      </c>
      <c r="H51">
        <v>29</v>
      </c>
    </row>
    <row r="52" spans="1:8" x14ac:dyDescent="0.25">
      <c r="A52" t="s">
        <v>117</v>
      </c>
      <c r="B52">
        <f>COUNTIF(Sheet1!$F$2:$AG$60,allcase!A52)</f>
        <v>0</v>
      </c>
      <c r="D52" t="s">
        <v>113</v>
      </c>
      <c r="E52">
        <v>2</v>
      </c>
      <c r="G52" t="s">
        <v>287</v>
      </c>
      <c r="H52">
        <v>30</v>
      </c>
    </row>
    <row r="53" spans="1:8" x14ac:dyDescent="0.25">
      <c r="A53" t="s">
        <v>118</v>
      </c>
      <c r="B53">
        <f>COUNTIF(Sheet1!$F$2:$AG$60,allcase!A53)</f>
        <v>0</v>
      </c>
      <c r="D53" t="s">
        <v>166</v>
      </c>
      <c r="E53">
        <v>1</v>
      </c>
      <c r="G53" t="s">
        <v>288</v>
      </c>
      <c r="H53">
        <v>9</v>
      </c>
    </row>
    <row r="54" spans="1:8" x14ac:dyDescent="0.25">
      <c r="A54" t="s">
        <v>119</v>
      </c>
      <c r="B54">
        <f>COUNTIF(Sheet1!$F$2:$AG$60,allcase!A54)</f>
        <v>0</v>
      </c>
      <c r="D54" t="s">
        <v>239</v>
      </c>
      <c r="E54">
        <v>1</v>
      </c>
      <c r="G54" t="s">
        <v>289</v>
      </c>
      <c r="H54">
        <v>15</v>
      </c>
    </row>
    <row r="55" spans="1:8" x14ac:dyDescent="0.25">
      <c r="A55" t="s">
        <v>120</v>
      </c>
      <c r="B55">
        <f>COUNTIF(Sheet1!$F$2:$AG$60,allcase!A55)</f>
        <v>0</v>
      </c>
      <c r="D55" t="s">
        <v>245</v>
      </c>
      <c r="E55">
        <v>1</v>
      </c>
      <c r="G55" t="s">
        <v>290</v>
      </c>
      <c r="H55">
        <v>22</v>
      </c>
    </row>
    <row r="56" spans="1:8" x14ac:dyDescent="0.25">
      <c r="A56" t="s">
        <v>121</v>
      </c>
      <c r="B56">
        <f>COUNTIF(Sheet1!$F$2:$AG$60,allcase!A56)</f>
        <v>0</v>
      </c>
      <c r="D56" t="s">
        <v>257</v>
      </c>
      <c r="E56">
        <v>1</v>
      </c>
      <c r="G56" t="s">
        <v>291</v>
      </c>
      <c r="H56">
        <v>29</v>
      </c>
    </row>
    <row r="57" spans="1:8" x14ac:dyDescent="0.25">
      <c r="A57" t="s">
        <v>122</v>
      </c>
      <c r="B57">
        <f>COUNTIF(Sheet1!$F$2:$AG$60,allcase!A57)</f>
        <v>0</v>
      </c>
      <c r="D57" t="s">
        <v>67</v>
      </c>
      <c r="E57">
        <v>0</v>
      </c>
    </row>
    <row r="58" spans="1:8" x14ac:dyDescent="0.25">
      <c r="A58" t="s">
        <v>123</v>
      </c>
      <c r="B58">
        <f>COUNTIF(Sheet1!$F$2:$AG$60,allcase!A58)</f>
        <v>0</v>
      </c>
      <c r="D58" t="s">
        <v>68</v>
      </c>
      <c r="E58">
        <v>0</v>
      </c>
    </row>
    <row r="59" spans="1:8" x14ac:dyDescent="0.25">
      <c r="A59" t="s">
        <v>124</v>
      </c>
      <c r="B59">
        <f>COUNTIF(Sheet1!$F$2:$AG$60,allcase!A59)</f>
        <v>0</v>
      </c>
      <c r="D59" t="s">
        <v>69</v>
      </c>
      <c r="E59">
        <v>0</v>
      </c>
    </row>
    <row r="60" spans="1:8" x14ac:dyDescent="0.25">
      <c r="A60" t="s">
        <v>125</v>
      </c>
      <c r="B60">
        <f>COUNTIF(Sheet1!$F$2:$AG$60,allcase!A60)</f>
        <v>0</v>
      </c>
      <c r="D60" t="s">
        <v>70</v>
      </c>
      <c r="E60">
        <v>0</v>
      </c>
    </row>
    <row r="61" spans="1:8" x14ac:dyDescent="0.25">
      <c r="A61" t="s">
        <v>126</v>
      </c>
      <c r="B61">
        <f>COUNTIF(Sheet1!$F$2:$AG$60,allcase!A61)</f>
        <v>0</v>
      </c>
      <c r="D61" t="s">
        <v>71</v>
      </c>
      <c r="E61">
        <v>0</v>
      </c>
    </row>
    <row r="62" spans="1:8" x14ac:dyDescent="0.25">
      <c r="A62" t="s">
        <v>127</v>
      </c>
      <c r="B62">
        <f>COUNTIF(Sheet1!$F$2:$AG$60,allcase!A62)</f>
        <v>0</v>
      </c>
      <c r="D62" t="s">
        <v>72</v>
      </c>
      <c r="E62">
        <v>0</v>
      </c>
    </row>
    <row r="63" spans="1:8" x14ac:dyDescent="0.25">
      <c r="A63" t="s">
        <v>128</v>
      </c>
      <c r="B63">
        <f>COUNTIF(Sheet1!$F$2:$AG$60,allcase!A63)</f>
        <v>0</v>
      </c>
      <c r="D63" t="s">
        <v>73</v>
      </c>
      <c r="E63">
        <v>0</v>
      </c>
    </row>
    <row r="64" spans="1:8" x14ac:dyDescent="0.25">
      <c r="A64" t="s">
        <v>129</v>
      </c>
      <c r="B64">
        <f>COUNTIF(Sheet1!$F$2:$AG$60,allcase!A64)</f>
        <v>0</v>
      </c>
      <c r="D64" t="s">
        <v>74</v>
      </c>
      <c r="E64">
        <v>0</v>
      </c>
    </row>
    <row r="65" spans="1:5" x14ac:dyDescent="0.25">
      <c r="A65" t="s">
        <v>130</v>
      </c>
      <c r="B65">
        <f>COUNTIF(Sheet1!$F$2:$AG$60,allcase!A65)</f>
        <v>0</v>
      </c>
      <c r="D65" t="s">
        <v>75</v>
      </c>
      <c r="E65">
        <v>0</v>
      </c>
    </row>
    <row r="66" spans="1:5" x14ac:dyDescent="0.25">
      <c r="A66" t="s">
        <v>131</v>
      </c>
      <c r="B66">
        <f>COUNTIF(Sheet1!$F$2:$AG$60,allcase!A66)</f>
        <v>0</v>
      </c>
      <c r="D66" t="s">
        <v>76</v>
      </c>
      <c r="E66">
        <v>0</v>
      </c>
    </row>
    <row r="67" spans="1:5" x14ac:dyDescent="0.25">
      <c r="A67" t="s">
        <v>132</v>
      </c>
      <c r="B67">
        <f>COUNTIF(Sheet1!$F$2:$AG$60,allcase!A67)</f>
        <v>0</v>
      </c>
      <c r="D67" t="s">
        <v>77</v>
      </c>
      <c r="E67">
        <v>0</v>
      </c>
    </row>
    <row r="68" spans="1:5" x14ac:dyDescent="0.25">
      <c r="A68" t="s">
        <v>133</v>
      </c>
      <c r="B68">
        <f>COUNTIF(Sheet1!$F$2:$AG$60,allcase!A68)</f>
        <v>0</v>
      </c>
      <c r="D68" t="s">
        <v>78</v>
      </c>
      <c r="E68">
        <v>0</v>
      </c>
    </row>
    <row r="69" spans="1:5" x14ac:dyDescent="0.25">
      <c r="A69" t="s">
        <v>134</v>
      </c>
      <c r="B69">
        <f>COUNTIF(Sheet1!$F$2:$AG$60,allcase!A69)</f>
        <v>0</v>
      </c>
      <c r="D69" t="s">
        <v>79</v>
      </c>
      <c r="E69">
        <v>0</v>
      </c>
    </row>
    <row r="70" spans="1:5" x14ac:dyDescent="0.25">
      <c r="A70" t="s">
        <v>135</v>
      </c>
      <c r="B70">
        <f>COUNTIF(Sheet1!$F$2:$AG$60,allcase!A70)</f>
        <v>0</v>
      </c>
      <c r="D70" t="s">
        <v>80</v>
      </c>
      <c r="E70">
        <v>0</v>
      </c>
    </row>
    <row r="71" spans="1:5" x14ac:dyDescent="0.25">
      <c r="A71" t="s">
        <v>136</v>
      </c>
      <c r="B71">
        <f>COUNTIF(Sheet1!$F$2:$AG$60,allcase!A71)</f>
        <v>0</v>
      </c>
      <c r="D71" t="s">
        <v>81</v>
      </c>
      <c r="E71">
        <v>0</v>
      </c>
    </row>
    <row r="72" spans="1:5" x14ac:dyDescent="0.25">
      <c r="A72" t="s">
        <v>137</v>
      </c>
      <c r="B72">
        <f>COUNTIF(Sheet1!$F$2:$AG$60,allcase!A72)</f>
        <v>0</v>
      </c>
      <c r="D72" t="s">
        <v>82</v>
      </c>
      <c r="E72">
        <v>0</v>
      </c>
    </row>
    <row r="73" spans="1:5" x14ac:dyDescent="0.25">
      <c r="A73" t="s">
        <v>138</v>
      </c>
      <c r="B73">
        <f>COUNTIF(Sheet1!$F$2:$AG$60,allcase!A73)</f>
        <v>14</v>
      </c>
      <c r="D73" t="s">
        <v>83</v>
      </c>
      <c r="E73">
        <v>0</v>
      </c>
    </row>
    <row r="74" spans="1:5" x14ac:dyDescent="0.25">
      <c r="A74" t="s">
        <v>139</v>
      </c>
      <c r="B74">
        <f>COUNTIF(Sheet1!$F$2:$AG$60,allcase!A74)</f>
        <v>0</v>
      </c>
      <c r="D74" t="s">
        <v>84</v>
      </c>
      <c r="E74">
        <v>0</v>
      </c>
    </row>
    <row r="75" spans="1:5" x14ac:dyDescent="0.25">
      <c r="A75" t="s">
        <v>140</v>
      </c>
      <c r="B75">
        <f>COUNTIF(Sheet1!$F$2:$AG$60,allcase!A75)</f>
        <v>19</v>
      </c>
      <c r="D75" t="s">
        <v>85</v>
      </c>
      <c r="E75">
        <v>0</v>
      </c>
    </row>
    <row r="76" spans="1:5" x14ac:dyDescent="0.25">
      <c r="A76" t="s">
        <v>141</v>
      </c>
      <c r="B76">
        <f>COUNTIF(Sheet1!$F$2:$AG$60,allcase!A76)</f>
        <v>0</v>
      </c>
      <c r="D76" t="s">
        <v>86</v>
      </c>
      <c r="E76">
        <v>0</v>
      </c>
    </row>
    <row r="77" spans="1:5" x14ac:dyDescent="0.25">
      <c r="A77" t="s">
        <v>142</v>
      </c>
      <c r="B77">
        <f>COUNTIF(Sheet1!$F$2:$AG$60,allcase!A77)</f>
        <v>0</v>
      </c>
      <c r="D77" t="s">
        <v>87</v>
      </c>
      <c r="E77">
        <v>0</v>
      </c>
    </row>
    <row r="78" spans="1:5" x14ac:dyDescent="0.25">
      <c r="A78" t="s">
        <v>143</v>
      </c>
      <c r="B78">
        <f>COUNTIF(Sheet1!$F$2:$AG$60,allcase!A78)</f>
        <v>30</v>
      </c>
      <c r="D78" t="s">
        <v>88</v>
      </c>
      <c r="E78">
        <v>0</v>
      </c>
    </row>
    <row r="79" spans="1:5" x14ac:dyDescent="0.25">
      <c r="A79" t="s">
        <v>144</v>
      </c>
      <c r="B79">
        <f>COUNTIF(Sheet1!$F$2:$AG$60,allcase!A79)</f>
        <v>0</v>
      </c>
      <c r="D79" t="s">
        <v>89</v>
      </c>
      <c r="E79">
        <v>0</v>
      </c>
    </row>
    <row r="80" spans="1:5" x14ac:dyDescent="0.25">
      <c r="A80" t="s">
        <v>145</v>
      </c>
      <c r="B80">
        <f>COUNTIF(Sheet1!$F$2:$AG$60,allcase!A80)</f>
        <v>0</v>
      </c>
      <c r="D80" t="s">
        <v>90</v>
      </c>
      <c r="E80">
        <v>0</v>
      </c>
    </row>
    <row r="81" spans="1:5" x14ac:dyDescent="0.25">
      <c r="A81" t="s">
        <v>146</v>
      </c>
      <c r="B81">
        <f>COUNTIF(Sheet1!$F$2:$AG$60,allcase!A81)</f>
        <v>0</v>
      </c>
      <c r="D81" t="s">
        <v>91</v>
      </c>
      <c r="E81">
        <v>0</v>
      </c>
    </row>
    <row r="82" spans="1:5" x14ac:dyDescent="0.25">
      <c r="A82" t="s">
        <v>147</v>
      </c>
      <c r="B82">
        <f>COUNTIF(Sheet1!$F$2:$AG$60,allcase!A82)</f>
        <v>0</v>
      </c>
      <c r="D82" t="s">
        <v>92</v>
      </c>
      <c r="E82">
        <v>0</v>
      </c>
    </row>
    <row r="83" spans="1:5" x14ac:dyDescent="0.25">
      <c r="A83" t="s">
        <v>148</v>
      </c>
      <c r="B83">
        <f>COUNTIF(Sheet1!$F$2:$AG$60,allcase!A83)</f>
        <v>0</v>
      </c>
      <c r="D83" t="s">
        <v>93</v>
      </c>
      <c r="E83">
        <v>0</v>
      </c>
    </row>
    <row r="84" spans="1:5" x14ac:dyDescent="0.25">
      <c r="A84" t="s">
        <v>149</v>
      </c>
      <c r="B84">
        <f>COUNTIF(Sheet1!$F$2:$AG$60,allcase!A84)</f>
        <v>20</v>
      </c>
      <c r="D84" t="s">
        <v>94</v>
      </c>
      <c r="E84">
        <v>0</v>
      </c>
    </row>
    <row r="85" spans="1:5" x14ac:dyDescent="0.25">
      <c r="A85" t="s">
        <v>150</v>
      </c>
      <c r="B85">
        <f>COUNTIF(Sheet1!$F$2:$AG$60,allcase!A85)</f>
        <v>5</v>
      </c>
      <c r="D85" t="s">
        <v>95</v>
      </c>
      <c r="E85">
        <v>0</v>
      </c>
    </row>
    <row r="86" spans="1:5" x14ac:dyDescent="0.25">
      <c r="A86" t="s">
        <v>151</v>
      </c>
      <c r="B86">
        <f>COUNTIF(Sheet1!$F$2:$AG$60,allcase!A86)</f>
        <v>0</v>
      </c>
      <c r="D86" t="s">
        <v>96</v>
      </c>
      <c r="E86">
        <v>0</v>
      </c>
    </row>
    <row r="87" spans="1:5" x14ac:dyDescent="0.25">
      <c r="A87" t="s">
        <v>152</v>
      </c>
      <c r="B87">
        <f>COUNTIF(Sheet1!$F$2:$AG$60,allcase!A87)</f>
        <v>11</v>
      </c>
      <c r="D87" t="s">
        <v>97</v>
      </c>
      <c r="E87">
        <v>0</v>
      </c>
    </row>
    <row r="88" spans="1:5" x14ac:dyDescent="0.25">
      <c r="A88" t="s">
        <v>153</v>
      </c>
      <c r="B88">
        <f>COUNTIF(Sheet1!$F$2:$AG$60,allcase!A88)</f>
        <v>0</v>
      </c>
      <c r="D88" t="s">
        <v>98</v>
      </c>
      <c r="E88">
        <v>0</v>
      </c>
    </row>
    <row r="89" spans="1:5" x14ac:dyDescent="0.25">
      <c r="A89" t="s">
        <v>154</v>
      </c>
      <c r="B89">
        <f>COUNTIF(Sheet1!$F$2:$AG$60,allcase!A89)</f>
        <v>0</v>
      </c>
      <c r="D89" t="s">
        <v>99</v>
      </c>
      <c r="E89">
        <v>0</v>
      </c>
    </row>
    <row r="90" spans="1:5" x14ac:dyDescent="0.25">
      <c r="A90" t="s">
        <v>155</v>
      </c>
      <c r="B90">
        <f>COUNTIF(Sheet1!$F$2:$AG$60,allcase!A90)</f>
        <v>23</v>
      </c>
      <c r="D90" t="s">
        <v>100</v>
      </c>
      <c r="E90">
        <v>0</v>
      </c>
    </row>
    <row r="91" spans="1:5" x14ac:dyDescent="0.25">
      <c r="A91" t="s">
        <v>156</v>
      </c>
      <c r="B91">
        <f>COUNTIF(Sheet1!$F$2:$AG$60,allcase!A91)</f>
        <v>22</v>
      </c>
      <c r="D91" t="s">
        <v>101</v>
      </c>
      <c r="E91">
        <v>0</v>
      </c>
    </row>
    <row r="92" spans="1:5" x14ac:dyDescent="0.25">
      <c r="A92" t="s">
        <v>157</v>
      </c>
      <c r="B92">
        <f>COUNTIF(Sheet1!$F$2:$AG$60,allcase!A92)</f>
        <v>0</v>
      </c>
      <c r="D92" t="s">
        <v>102</v>
      </c>
      <c r="E92">
        <v>0</v>
      </c>
    </row>
    <row r="93" spans="1:5" x14ac:dyDescent="0.25">
      <c r="A93" t="s">
        <v>158</v>
      </c>
      <c r="B93">
        <f>COUNTIF(Sheet1!$F$2:$AG$60,allcase!A93)</f>
        <v>30</v>
      </c>
      <c r="D93" t="s">
        <v>103</v>
      </c>
      <c r="E93">
        <v>0</v>
      </c>
    </row>
    <row r="94" spans="1:5" x14ac:dyDescent="0.25">
      <c r="A94" t="s">
        <v>159</v>
      </c>
      <c r="B94">
        <f>COUNTIF(Sheet1!$F$2:$AG$60,allcase!A94)</f>
        <v>0</v>
      </c>
      <c r="D94" t="s">
        <v>104</v>
      </c>
      <c r="E94">
        <v>0</v>
      </c>
    </row>
    <row r="95" spans="1:5" x14ac:dyDescent="0.25">
      <c r="A95" t="s">
        <v>160</v>
      </c>
      <c r="B95">
        <f>COUNTIF(Sheet1!$F$2:$AG$60,allcase!A95)</f>
        <v>13</v>
      </c>
      <c r="D95" t="s">
        <v>105</v>
      </c>
      <c r="E95">
        <v>0</v>
      </c>
    </row>
    <row r="96" spans="1:5" x14ac:dyDescent="0.25">
      <c r="A96" t="s">
        <v>161</v>
      </c>
      <c r="B96">
        <f>COUNTIF(Sheet1!$F$2:$AG$60,allcase!A96)</f>
        <v>30</v>
      </c>
      <c r="D96" t="s">
        <v>106</v>
      </c>
      <c r="E96">
        <v>0</v>
      </c>
    </row>
    <row r="97" spans="1:5" x14ac:dyDescent="0.25">
      <c r="A97" t="s">
        <v>162</v>
      </c>
      <c r="B97">
        <f>COUNTIF(Sheet1!$F$2:$AG$60,allcase!A97)</f>
        <v>0</v>
      </c>
      <c r="D97" t="s">
        <v>107</v>
      </c>
      <c r="E97">
        <v>0</v>
      </c>
    </row>
    <row r="98" spans="1:5" x14ac:dyDescent="0.25">
      <c r="A98" t="s">
        <v>163</v>
      </c>
      <c r="B98">
        <f>COUNTIF(Sheet1!$F$2:$AG$60,allcase!A98)</f>
        <v>0</v>
      </c>
      <c r="D98" t="s">
        <v>108</v>
      </c>
      <c r="E98">
        <v>0</v>
      </c>
    </row>
    <row r="99" spans="1:5" x14ac:dyDescent="0.25">
      <c r="A99" t="s">
        <v>164</v>
      </c>
      <c r="B99">
        <f>COUNTIF(Sheet1!$F$2:$AG$60,allcase!A99)</f>
        <v>3</v>
      </c>
      <c r="D99" t="s">
        <v>109</v>
      </c>
      <c r="E99">
        <v>0</v>
      </c>
    </row>
    <row r="100" spans="1:5" x14ac:dyDescent="0.25">
      <c r="A100" t="s">
        <v>165</v>
      </c>
      <c r="B100">
        <f>COUNTIF(Sheet1!$F$2:$AG$60,allcase!A100)</f>
        <v>0</v>
      </c>
      <c r="D100" t="s">
        <v>110</v>
      </c>
      <c r="E100">
        <v>0</v>
      </c>
    </row>
    <row r="101" spans="1:5" x14ac:dyDescent="0.25">
      <c r="A101" t="s">
        <v>166</v>
      </c>
      <c r="B101">
        <f>COUNTIF(Sheet1!$F$2:$AG$60,allcase!A101)</f>
        <v>1</v>
      </c>
      <c r="D101" t="s">
        <v>111</v>
      </c>
      <c r="E101">
        <v>0</v>
      </c>
    </row>
    <row r="102" spans="1:5" x14ac:dyDescent="0.25">
      <c r="A102" t="s">
        <v>167</v>
      </c>
      <c r="B102">
        <f>COUNTIF(Sheet1!$F$2:$AG$60,allcase!A102)</f>
        <v>5</v>
      </c>
      <c r="D102" t="s">
        <v>112</v>
      </c>
      <c r="E102">
        <v>0</v>
      </c>
    </row>
    <row r="103" spans="1:5" x14ac:dyDescent="0.25">
      <c r="A103" t="s">
        <v>168</v>
      </c>
      <c r="B103">
        <f>COUNTIF(Sheet1!$F$2:$AG$60,allcase!A103)</f>
        <v>9</v>
      </c>
      <c r="D103" t="s">
        <v>114</v>
      </c>
      <c r="E103">
        <v>0</v>
      </c>
    </row>
    <row r="104" spans="1:5" x14ac:dyDescent="0.25">
      <c r="A104" t="s">
        <v>169</v>
      </c>
      <c r="B104">
        <f>COUNTIF(Sheet1!$F$2:$AG$60,allcase!A104)</f>
        <v>0</v>
      </c>
      <c r="D104" t="s">
        <v>115</v>
      </c>
      <c r="E104">
        <v>0</v>
      </c>
    </row>
    <row r="105" spans="1:5" x14ac:dyDescent="0.25">
      <c r="A105" t="s">
        <v>170</v>
      </c>
      <c r="B105">
        <f>COUNTIF(Sheet1!$F$2:$AG$60,allcase!A105)</f>
        <v>5</v>
      </c>
      <c r="D105" t="s">
        <v>116</v>
      </c>
      <c r="E105">
        <v>0</v>
      </c>
    </row>
    <row r="106" spans="1:5" x14ac:dyDescent="0.25">
      <c r="A106" t="s">
        <v>171</v>
      </c>
      <c r="B106">
        <f>COUNTIF(Sheet1!$F$2:$AG$60,allcase!A106)</f>
        <v>0</v>
      </c>
      <c r="D106" t="s">
        <v>117</v>
      </c>
      <c r="E106">
        <v>0</v>
      </c>
    </row>
    <row r="107" spans="1:5" x14ac:dyDescent="0.25">
      <c r="A107" t="s">
        <v>172</v>
      </c>
      <c r="B107">
        <f>COUNTIF(Sheet1!$F$2:$AG$60,allcase!A107)</f>
        <v>14</v>
      </c>
      <c r="D107" t="s">
        <v>118</v>
      </c>
      <c r="E107">
        <v>0</v>
      </c>
    </row>
    <row r="108" spans="1:5" x14ac:dyDescent="0.25">
      <c r="A108" t="s">
        <v>173</v>
      </c>
      <c r="B108">
        <f>COUNTIF(Sheet1!$F$2:$AG$60,allcase!A108)</f>
        <v>25</v>
      </c>
      <c r="D108" t="s">
        <v>119</v>
      </c>
      <c r="E108">
        <v>0</v>
      </c>
    </row>
    <row r="109" spans="1:5" x14ac:dyDescent="0.25">
      <c r="A109" t="s">
        <v>174</v>
      </c>
      <c r="B109">
        <f>COUNTIF(Sheet1!$F$2:$AG$60,allcase!A109)</f>
        <v>0</v>
      </c>
      <c r="D109" t="s">
        <v>120</v>
      </c>
      <c r="E109">
        <v>0</v>
      </c>
    </row>
    <row r="110" spans="1:5" x14ac:dyDescent="0.25">
      <c r="A110" t="s">
        <v>175</v>
      </c>
      <c r="B110">
        <f>COUNTIF(Sheet1!$F$2:$AG$60,allcase!A110)</f>
        <v>0</v>
      </c>
      <c r="D110" t="s">
        <v>121</v>
      </c>
      <c r="E110">
        <v>0</v>
      </c>
    </row>
    <row r="111" spans="1:5" x14ac:dyDescent="0.25">
      <c r="A111" t="s">
        <v>176</v>
      </c>
      <c r="B111">
        <f>COUNTIF(Sheet1!$F$2:$AG$60,allcase!A111)</f>
        <v>7</v>
      </c>
      <c r="D111" t="s">
        <v>122</v>
      </c>
      <c r="E111">
        <v>0</v>
      </c>
    </row>
    <row r="112" spans="1:5" x14ac:dyDescent="0.25">
      <c r="A112" t="s">
        <v>177</v>
      </c>
      <c r="B112">
        <f>COUNTIF(Sheet1!$F$2:$AG$60,allcase!A112)</f>
        <v>0</v>
      </c>
      <c r="D112" t="s">
        <v>123</v>
      </c>
      <c r="E112">
        <v>0</v>
      </c>
    </row>
    <row r="113" spans="1:5" x14ac:dyDescent="0.25">
      <c r="A113" t="s">
        <v>178</v>
      </c>
      <c r="B113">
        <f>COUNTIF(Sheet1!$F$2:$AG$60,allcase!A113)</f>
        <v>11</v>
      </c>
      <c r="D113" t="s">
        <v>124</v>
      </c>
      <c r="E113">
        <v>0</v>
      </c>
    </row>
    <row r="114" spans="1:5" x14ac:dyDescent="0.25">
      <c r="A114" t="s">
        <v>179</v>
      </c>
      <c r="B114">
        <f>COUNTIF(Sheet1!$F$2:$AG$60,allcase!A114)</f>
        <v>17</v>
      </c>
      <c r="D114" t="s">
        <v>125</v>
      </c>
      <c r="E114">
        <v>0</v>
      </c>
    </row>
    <row r="115" spans="1:5" x14ac:dyDescent="0.25">
      <c r="A115" t="s">
        <v>180</v>
      </c>
      <c r="B115">
        <f>COUNTIF(Sheet1!$F$2:$AG$60,allcase!A115)</f>
        <v>6</v>
      </c>
      <c r="D115" t="s">
        <v>126</v>
      </c>
      <c r="E115">
        <v>0</v>
      </c>
    </row>
    <row r="116" spans="1:5" x14ac:dyDescent="0.25">
      <c r="A116" t="s">
        <v>181</v>
      </c>
      <c r="B116">
        <f>COUNTIF(Sheet1!$F$2:$AG$60,allcase!A116)</f>
        <v>0</v>
      </c>
      <c r="D116" t="s">
        <v>127</v>
      </c>
      <c r="E116">
        <v>0</v>
      </c>
    </row>
    <row r="117" spans="1:5" x14ac:dyDescent="0.25">
      <c r="A117" t="s">
        <v>182</v>
      </c>
      <c r="B117">
        <f>COUNTIF(Sheet1!$F$2:$AG$60,allcase!A117)</f>
        <v>24</v>
      </c>
      <c r="D117" t="s">
        <v>128</v>
      </c>
      <c r="E117">
        <v>0</v>
      </c>
    </row>
    <row r="118" spans="1:5" x14ac:dyDescent="0.25">
      <c r="A118" t="s">
        <v>183</v>
      </c>
      <c r="B118">
        <f>COUNTIF(Sheet1!$F$2:$AG$60,allcase!A118)</f>
        <v>0</v>
      </c>
      <c r="D118" t="s">
        <v>129</v>
      </c>
      <c r="E118">
        <v>0</v>
      </c>
    </row>
    <row r="119" spans="1:5" x14ac:dyDescent="0.25">
      <c r="A119" t="s">
        <v>184</v>
      </c>
      <c r="B119">
        <f>COUNTIF(Sheet1!$F$2:$AG$60,allcase!A119)</f>
        <v>24</v>
      </c>
      <c r="D119" t="s">
        <v>130</v>
      </c>
      <c r="E119">
        <v>0</v>
      </c>
    </row>
    <row r="120" spans="1:5" x14ac:dyDescent="0.25">
      <c r="A120" t="s">
        <v>185</v>
      </c>
      <c r="B120">
        <f>COUNTIF(Sheet1!$F$2:$AG$60,allcase!A120)</f>
        <v>30</v>
      </c>
      <c r="D120" t="s">
        <v>131</v>
      </c>
      <c r="E120">
        <v>0</v>
      </c>
    </row>
    <row r="121" spans="1:5" x14ac:dyDescent="0.25">
      <c r="A121" t="s">
        <v>186</v>
      </c>
      <c r="B121">
        <f>COUNTIF(Sheet1!$F$2:$AG$60,allcase!A121)</f>
        <v>0</v>
      </c>
      <c r="D121" t="s">
        <v>132</v>
      </c>
      <c r="E121">
        <v>0</v>
      </c>
    </row>
    <row r="122" spans="1:5" x14ac:dyDescent="0.25">
      <c r="A122" t="s">
        <v>187</v>
      </c>
      <c r="B122">
        <f>COUNTIF(Sheet1!$F$2:$AG$60,allcase!A122)</f>
        <v>0</v>
      </c>
      <c r="D122" t="s">
        <v>133</v>
      </c>
      <c r="E122">
        <v>0</v>
      </c>
    </row>
    <row r="123" spans="1:5" x14ac:dyDescent="0.25">
      <c r="A123" t="s">
        <v>188</v>
      </c>
      <c r="B123">
        <f>COUNTIF(Sheet1!$F$2:$AG$60,allcase!A123)</f>
        <v>0</v>
      </c>
      <c r="D123" t="s">
        <v>134</v>
      </c>
      <c r="E123">
        <v>0</v>
      </c>
    </row>
    <row r="124" spans="1:5" x14ac:dyDescent="0.25">
      <c r="A124" t="s">
        <v>189</v>
      </c>
      <c r="B124">
        <f>COUNTIF(Sheet1!$F$2:$AG$60,allcase!A124)</f>
        <v>0</v>
      </c>
      <c r="D124" t="s">
        <v>135</v>
      </c>
      <c r="E124">
        <v>0</v>
      </c>
    </row>
    <row r="125" spans="1:5" x14ac:dyDescent="0.25">
      <c r="A125" t="s">
        <v>190</v>
      </c>
      <c r="B125">
        <f>COUNTIF(Sheet1!$F$2:$AG$60,allcase!A125)</f>
        <v>0</v>
      </c>
      <c r="D125" t="s">
        <v>136</v>
      </c>
      <c r="E125">
        <v>0</v>
      </c>
    </row>
    <row r="126" spans="1:5" x14ac:dyDescent="0.25">
      <c r="A126" t="s">
        <v>191</v>
      </c>
      <c r="B126">
        <f>COUNTIF(Sheet1!$F$2:$AG$60,allcase!A126)</f>
        <v>0</v>
      </c>
      <c r="D126" t="s">
        <v>137</v>
      </c>
      <c r="E126">
        <v>0</v>
      </c>
    </row>
    <row r="127" spans="1:5" x14ac:dyDescent="0.25">
      <c r="A127" t="s">
        <v>192</v>
      </c>
      <c r="B127">
        <f>COUNTIF(Sheet1!$F$2:$AG$60,allcase!A127)</f>
        <v>0</v>
      </c>
      <c r="D127" t="s">
        <v>139</v>
      </c>
      <c r="E127">
        <v>0</v>
      </c>
    </row>
    <row r="128" spans="1:5" x14ac:dyDescent="0.25">
      <c r="A128" t="s">
        <v>193</v>
      </c>
      <c r="B128">
        <f>COUNTIF(Sheet1!$F$2:$AG$60,allcase!A128)</f>
        <v>0</v>
      </c>
      <c r="D128" t="s">
        <v>141</v>
      </c>
      <c r="E128">
        <v>0</v>
      </c>
    </row>
    <row r="129" spans="1:5" x14ac:dyDescent="0.25">
      <c r="A129" t="s">
        <v>194</v>
      </c>
      <c r="B129">
        <f>COUNTIF(Sheet1!$F$2:$AG$60,allcase!A129)</f>
        <v>0</v>
      </c>
      <c r="D129" t="s">
        <v>142</v>
      </c>
      <c r="E129">
        <v>0</v>
      </c>
    </row>
    <row r="130" spans="1:5" x14ac:dyDescent="0.25">
      <c r="A130" t="s">
        <v>195</v>
      </c>
      <c r="B130">
        <f>COUNTIF(Sheet1!$F$2:$AG$60,allcase!A130)</f>
        <v>0</v>
      </c>
      <c r="D130" t="s">
        <v>144</v>
      </c>
      <c r="E130">
        <v>0</v>
      </c>
    </row>
    <row r="131" spans="1:5" x14ac:dyDescent="0.25">
      <c r="A131" t="s">
        <v>196</v>
      </c>
      <c r="B131">
        <f>COUNTIF(Sheet1!$F$2:$AG$60,allcase!A131)</f>
        <v>0</v>
      </c>
      <c r="D131" t="s">
        <v>145</v>
      </c>
      <c r="E131">
        <v>0</v>
      </c>
    </row>
    <row r="132" spans="1:5" x14ac:dyDescent="0.25">
      <c r="A132" t="s">
        <v>197</v>
      </c>
      <c r="B132">
        <f>COUNTIF(Sheet1!$F$2:$AG$60,allcase!A132)</f>
        <v>0</v>
      </c>
      <c r="D132" t="s">
        <v>146</v>
      </c>
      <c r="E132">
        <v>0</v>
      </c>
    </row>
    <row r="133" spans="1:5" x14ac:dyDescent="0.25">
      <c r="A133" t="s">
        <v>198</v>
      </c>
      <c r="B133">
        <f>COUNTIF(Sheet1!$F$2:$AG$60,allcase!A133)</f>
        <v>0</v>
      </c>
      <c r="D133" t="s">
        <v>147</v>
      </c>
      <c r="E133">
        <v>0</v>
      </c>
    </row>
    <row r="134" spans="1:5" x14ac:dyDescent="0.25">
      <c r="A134" t="s">
        <v>199</v>
      </c>
      <c r="B134">
        <f>COUNTIF(Sheet1!$F$2:$AG$60,allcase!A134)</f>
        <v>0</v>
      </c>
      <c r="D134" t="s">
        <v>148</v>
      </c>
      <c r="E134">
        <v>0</v>
      </c>
    </row>
    <row r="135" spans="1:5" x14ac:dyDescent="0.25">
      <c r="A135" t="s">
        <v>200</v>
      </c>
      <c r="B135">
        <f>COUNTIF(Sheet1!$F$2:$AG$60,allcase!A135)</f>
        <v>0</v>
      </c>
      <c r="D135" t="s">
        <v>151</v>
      </c>
      <c r="E135">
        <v>0</v>
      </c>
    </row>
    <row r="136" spans="1:5" x14ac:dyDescent="0.25">
      <c r="A136" t="s">
        <v>201</v>
      </c>
      <c r="B136">
        <f>COUNTIF(Sheet1!$F$2:$AG$60,allcase!A136)</f>
        <v>0</v>
      </c>
      <c r="D136" t="s">
        <v>153</v>
      </c>
      <c r="E136">
        <v>0</v>
      </c>
    </row>
    <row r="137" spans="1:5" x14ac:dyDescent="0.25">
      <c r="A137" t="s">
        <v>202</v>
      </c>
      <c r="B137">
        <f>COUNTIF(Sheet1!$F$2:$AG$60,allcase!A137)</f>
        <v>0</v>
      </c>
      <c r="D137" t="s">
        <v>154</v>
      </c>
      <c r="E137">
        <v>0</v>
      </c>
    </row>
    <row r="138" spans="1:5" x14ac:dyDescent="0.25">
      <c r="A138" t="s">
        <v>203</v>
      </c>
      <c r="B138">
        <f>COUNTIF(Sheet1!$F$2:$AG$60,allcase!A138)</f>
        <v>0</v>
      </c>
      <c r="D138" t="s">
        <v>157</v>
      </c>
      <c r="E138">
        <v>0</v>
      </c>
    </row>
    <row r="139" spans="1:5" x14ac:dyDescent="0.25">
      <c r="A139" t="s">
        <v>204</v>
      </c>
      <c r="B139">
        <f>COUNTIF(Sheet1!$F$2:$AG$60,allcase!A139)</f>
        <v>0</v>
      </c>
      <c r="D139" t="s">
        <v>159</v>
      </c>
      <c r="E139">
        <v>0</v>
      </c>
    </row>
    <row r="140" spans="1:5" x14ac:dyDescent="0.25">
      <c r="A140" t="s">
        <v>205</v>
      </c>
      <c r="B140">
        <f>COUNTIF(Sheet1!$F$2:$AG$60,allcase!A140)</f>
        <v>0</v>
      </c>
      <c r="D140" t="s">
        <v>162</v>
      </c>
      <c r="E140">
        <v>0</v>
      </c>
    </row>
    <row r="141" spans="1:5" x14ac:dyDescent="0.25">
      <c r="A141" t="s">
        <v>206</v>
      </c>
      <c r="B141">
        <f>COUNTIF(Sheet1!$F$2:$AG$60,allcase!A141)</f>
        <v>0</v>
      </c>
      <c r="D141" t="s">
        <v>163</v>
      </c>
      <c r="E141">
        <v>0</v>
      </c>
    </row>
    <row r="142" spans="1:5" x14ac:dyDescent="0.25">
      <c r="A142" t="s">
        <v>207</v>
      </c>
      <c r="B142">
        <f>COUNTIF(Sheet1!$F$2:$AG$60,allcase!A142)</f>
        <v>0</v>
      </c>
      <c r="D142" t="s">
        <v>165</v>
      </c>
      <c r="E142">
        <v>0</v>
      </c>
    </row>
    <row r="143" spans="1:5" x14ac:dyDescent="0.25">
      <c r="A143" t="s">
        <v>208</v>
      </c>
      <c r="B143">
        <f>COUNTIF(Sheet1!$F$2:$AG$60,allcase!A143)</f>
        <v>0</v>
      </c>
      <c r="D143" t="s">
        <v>169</v>
      </c>
      <c r="E143">
        <v>0</v>
      </c>
    </row>
    <row r="144" spans="1:5" x14ac:dyDescent="0.25">
      <c r="A144" t="s">
        <v>209</v>
      </c>
      <c r="B144">
        <f>COUNTIF(Sheet1!$F$2:$AG$60,allcase!A144)</f>
        <v>0</v>
      </c>
      <c r="D144" t="s">
        <v>171</v>
      </c>
      <c r="E144">
        <v>0</v>
      </c>
    </row>
    <row r="145" spans="1:5" x14ac:dyDescent="0.25">
      <c r="A145" t="s">
        <v>210</v>
      </c>
      <c r="B145">
        <f>COUNTIF(Sheet1!$F$2:$AG$60,allcase!A145)</f>
        <v>0</v>
      </c>
      <c r="D145" t="s">
        <v>174</v>
      </c>
      <c r="E145">
        <v>0</v>
      </c>
    </row>
    <row r="146" spans="1:5" x14ac:dyDescent="0.25">
      <c r="A146" t="s">
        <v>211</v>
      </c>
      <c r="B146">
        <f>COUNTIF(Sheet1!$F$2:$AG$60,allcase!A146)</f>
        <v>0</v>
      </c>
      <c r="D146" t="s">
        <v>175</v>
      </c>
      <c r="E146">
        <v>0</v>
      </c>
    </row>
    <row r="147" spans="1:5" x14ac:dyDescent="0.25">
      <c r="A147" t="s">
        <v>212</v>
      </c>
      <c r="B147">
        <f>COUNTIF(Sheet1!$F$2:$AG$60,allcase!A147)</f>
        <v>0</v>
      </c>
      <c r="D147" t="s">
        <v>177</v>
      </c>
      <c r="E147">
        <v>0</v>
      </c>
    </row>
    <row r="148" spans="1:5" x14ac:dyDescent="0.25">
      <c r="A148" t="s">
        <v>213</v>
      </c>
      <c r="B148">
        <f>COUNTIF(Sheet1!$F$2:$AG$60,allcase!A148)</f>
        <v>0</v>
      </c>
      <c r="D148" t="s">
        <v>181</v>
      </c>
      <c r="E148">
        <v>0</v>
      </c>
    </row>
    <row r="149" spans="1:5" x14ac:dyDescent="0.25">
      <c r="A149" t="s">
        <v>214</v>
      </c>
      <c r="B149">
        <f>COUNTIF(Sheet1!$F$2:$AG$60,allcase!A149)</f>
        <v>0</v>
      </c>
      <c r="D149" t="s">
        <v>183</v>
      </c>
      <c r="E149">
        <v>0</v>
      </c>
    </row>
    <row r="150" spans="1:5" x14ac:dyDescent="0.25">
      <c r="A150" t="s">
        <v>215</v>
      </c>
      <c r="B150">
        <f>COUNTIF(Sheet1!$F$2:$AG$60,allcase!A150)</f>
        <v>0</v>
      </c>
      <c r="D150" t="s">
        <v>186</v>
      </c>
      <c r="E150">
        <v>0</v>
      </c>
    </row>
    <row r="151" spans="1:5" x14ac:dyDescent="0.25">
      <c r="A151" t="s">
        <v>216</v>
      </c>
      <c r="B151">
        <f>COUNTIF(Sheet1!$F$2:$AG$60,allcase!A151)</f>
        <v>0</v>
      </c>
      <c r="D151" t="s">
        <v>187</v>
      </c>
      <c r="E151">
        <v>0</v>
      </c>
    </row>
    <row r="152" spans="1:5" x14ac:dyDescent="0.25">
      <c r="A152" t="s">
        <v>217</v>
      </c>
      <c r="B152">
        <f>COUNTIF(Sheet1!$F$2:$AG$60,allcase!A152)</f>
        <v>0</v>
      </c>
      <c r="D152" t="s">
        <v>188</v>
      </c>
      <c r="E152">
        <v>0</v>
      </c>
    </row>
    <row r="153" spans="1:5" x14ac:dyDescent="0.25">
      <c r="A153" t="s">
        <v>218</v>
      </c>
      <c r="B153">
        <f>COUNTIF(Sheet1!$F$2:$AG$60,allcase!A153)</f>
        <v>0</v>
      </c>
      <c r="D153" t="s">
        <v>189</v>
      </c>
      <c r="E153">
        <v>0</v>
      </c>
    </row>
    <row r="154" spans="1:5" x14ac:dyDescent="0.25">
      <c r="A154" t="s">
        <v>219</v>
      </c>
      <c r="B154">
        <f>COUNTIF(Sheet1!$F$2:$AG$60,allcase!A154)</f>
        <v>0</v>
      </c>
      <c r="D154" t="s">
        <v>190</v>
      </c>
      <c r="E154">
        <v>0</v>
      </c>
    </row>
    <row r="155" spans="1:5" x14ac:dyDescent="0.25">
      <c r="A155" t="s">
        <v>220</v>
      </c>
      <c r="B155">
        <f>COUNTIF(Sheet1!$F$2:$AG$60,allcase!A155)</f>
        <v>0</v>
      </c>
      <c r="D155" t="s">
        <v>191</v>
      </c>
      <c r="E155">
        <v>0</v>
      </c>
    </row>
    <row r="156" spans="1:5" x14ac:dyDescent="0.25">
      <c r="A156" t="s">
        <v>221</v>
      </c>
      <c r="B156">
        <f>COUNTIF(Sheet1!$F$2:$AG$60,allcase!A156)</f>
        <v>0</v>
      </c>
      <c r="D156" t="s">
        <v>192</v>
      </c>
      <c r="E156">
        <v>0</v>
      </c>
    </row>
    <row r="157" spans="1:5" x14ac:dyDescent="0.25">
      <c r="A157" t="s">
        <v>222</v>
      </c>
      <c r="B157">
        <f>COUNTIF(Sheet1!$F$2:$AG$60,allcase!A157)</f>
        <v>0</v>
      </c>
      <c r="D157" t="s">
        <v>193</v>
      </c>
      <c r="E157">
        <v>0</v>
      </c>
    </row>
    <row r="158" spans="1:5" x14ac:dyDescent="0.25">
      <c r="A158" t="s">
        <v>223</v>
      </c>
      <c r="B158">
        <f>COUNTIF(Sheet1!$F$2:$AG$60,allcase!A158)</f>
        <v>15</v>
      </c>
      <c r="D158" t="s">
        <v>194</v>
      </c>
      <c r="E158">
        <v>0</v>
      </c>
    </row>
    <row r="159" spans="1:5" x14ac:dyDescent="0.25">
      <c r="A159" t="s">
        <v>224</v>
      </c>
      <c r="B159">
        <f>COUNTIF(Sheet1!$F$2:$AG$60,allcase!A159)</f>
        <v>0</v>
      </c>
      <c r="D159" t="s">
        <v>195</v>
      </c>
      <c r="E159">
        <v>0</v>
      </c>
    </row>
    <row r="160" spans="1:5" x14ac:dyDescent="0.25">
      <c r="A160" t="s">
        <v>225</v>
      </c>
      <c r="B160">
        <f>COUNTIF(Sheet1!$F$2:$AG$60,allcase!A160)</f>
        <v>0</v>
      </c>
      <c r="D160" t="s">
        <v>196</v>
      </c>
      <c r="E160">
        <v>0</v>
      </c>
    </row>
    <row r="161" spans="1:5" x14ac:dyDescent="0.25">
      <c r="A161" t="s">
        <v>226</v>
      </c>
      <c r="B161">
        <f>COUNTIF(Sheet1!$F$2:$AG$60,allcase!A161)</f>
        <v>13</v>
      </c>
      <c r="D161" t="s">
        <v>197</v>
      </c>
      <c r="E161">
        <v>0</v>
      </c>
    </row>
    <row r="162" spans="1:5" x14ac:dyDescent="0.25">
      <c r="A162" t="s">
        <v>227</v>
      </c>
      <c r="B162">
        <f>COUNTIF(Sheet1!$F$2:$AG$60,allcase!A162)</f>
        <v>0</v>
      </c>
      <c r="D162" t="s">
        <v>198</v>
      </c>
      <c r="E162">
        <v>0</v>
      </c>
    </row>
    <row r="163" spans="1:5" x14ac:dyDescent="0.25">
      <c r="A163" t="s">
        <v>228</v>
      </c>
      <c r="B163">
        <f>COUNTIF(Sheet1!$F$2:$AG$60,allcase!A163)</f>
        <v>0</v>
      </c>
      <c r="D163" t="s">
        <v>199</v>
      </c>
      <c r="E163">
        <v>0</v>
      </c>
    </row>
    <row r="164" spans="1:5" x14ac:dyDescent="0.25">
      <c r="A164" t="s">
        <v>229</v>
      </c>
      <c r="B164">
        <f>COUNTIF(Sheet1!$F$2:$AG$60,allcase!A164)</f>
        <v>23</v>
      </c>
      <c r="D164" t="s">
        <v>200</v>
      </c>
      <c r="E164">
        <v>0</v>
      </c>
    </row>
    <row r="165" spans="1:5" x14ac:dyDescent="0.25">
      <c r="A165" t="s">
        <v>230</v>
      </c>
      <c r="B165">
        <f>COUNTIF(Sheet1!$F$2:$AG$60,allcase!A165)</f>
        <v>0</v>
      </c>
      <c r="D165" t="s">
        <v>201</v>
      </c>
      <c r="E165">
        <v>0</v>
      </c>
    </row>
    <row r="166" spans="1:5" x14ac:dyDescent="0.25">
      <c r="A166" t="s">
        <v>231</v>
      </c>
      <c r="B166">
        <f>COUNTIF(Sheet1!$F$2:$AG$60,allcase!A166)</f>
        <v>0</v>
      </c>
      <c r="D166" t="s">
        <v>202</v>
      </c>
      <c r="E166">
        <v>0</v>
      </c>
    </row>
    <row r="167" spans="1:5" x14ac:dyDescent="0.25">
      <c r="A167" t="s">
        <v>232</v>
      </c>
      <c r="B167">
        <f>COUNTIF(Sheet1!$F$2:$AG$60,allcase!A167)</f>
        <v>9</v>
      </c>
      <c r="D167" t="s">
        <v>203</v>
      </c>
      <c r="E167">
        <v>0</v>
      </c>
    </row>
    <row r="168" spans="1:5" x14ac:dyDescent="0.25">
      <c r="A168" t="s">
        <v>233</v>
      </c>
      <c r="B168">
        <f>COUNTIF(Sheet1!$F$2:$AG$60,allcase!A168)</f>
        <v>0</v>
      </c>
      <c r="D168" t="s">
        <v>204</v>
      </c>
      <c r="E168">
        <v>0</v>
      </c>
    </row>
    <row r="169" spans="1:5" x14ac:dyDescent="0.25">
      <c r="A169" t="s">
        <v>234</v>
      </c>
      <c r="B169">
        <f>COUNTIF(Sheet1!$F$2:$AG$60,allcase!A169)</f>
        <v>0</v>
      </c>
      <c r="D169" t="s">
        <v>205</v>
      </c>
      <c r="E169">
        <v>0</v>
      </c>
    </row>
    <row r="170" spans="1:5" x14ac:dyDescent="0.25">
      <c r="A170" t="s">
        <v>235</v>
      </c>
      <c r="B170">
        <f>COUNTIF(Sheet1!$F$2:$AG$60,allcase!A170)</f>
        <v>0</v>
      </c>
      <c r="D170" t="s">
        <v>206</v>
      </c>
      <c r="E170">
        <v>0</v>
      </c>
    </row>
    <row r="171" spans="1:5" x14ac:dyDescent="0.25">
      <c r="A171" t="s">
        <v>236</v>
      </c>
      <c r="B171">
        <f>COUNTIF(Sheet1!$F$2:$AG$60,allcase!A171)</f>
        <v>0</v>
      </c>
      <c r="D171" t="s">
        <v>207</v>
      </c>
      <c r="E171">
        <v>0</v>
      </c>
    </row>
    <row r="172" spans="1:5" x14ac:dyDescent="0.25">
      <c r="A172" t="s">
        <v>237</v>
      </c>
      <c r="B172">
        <f>COUNTIF(Sheet1!$F$2:$AG$60,allcase!A172)</f>
        <v>0</v>
      </c>
      <c r="D172" t="s">
        <v>208</v>
      </c>
      <c r="E172">
        <v>0</v>
      </c>
    </row>
    <row r="173" spans="1:5" x14ac:dyDescent="0.25">
      <c r="A173" t="s">
        <v>238</v>
      </c>
      <c r="B173">
        <f>COUNTIF(Sheet1!$F$2:$AG$60,allcase!A173)</f>
        <v>30</v>
      </c>
      <c r="D173" t="s">
        <v>209</v>
      </c>
      <c r="E173">
        <v>0</v>
      </c>
    </row>
    <row r="174" spans="1:5" x14ac:dyDescent="0.25">
      <c r="A174" t="s">
        <v>239</v>
      </c>
      <c r="B174">
        <f>COUNTIF(Sheet1!$F$2:$AG$60,allcase!A174)</f>
        <v>1</v>
      </c>
      <c r="D174" t="s">
        <v>210</v>
      </c>
      <c r="E174">
        <v>0</v>
      </c>
    </row>
    <row r="175" spans="1:5" x14ac:dyDescent="0.25">
      <c r="A175" t="s">
        <v>240</v>
      </c>
      <c r="B175">
        <f>COUNTIF(Sheet1!$F$2:$AG$60,allcase!A175)</f>
        <v>0</v>
      </c>
      <c r="D175" t="s">
        <v>211</v>
      </c>
      <c r="E175">
        <v>0</v>
      </c>
    </row>
    <row r="176" spans="1:5" x14ac:dyDescent="0.25">
      <c r="A176" t="s">
        <v>241</v>
      </c>
      <c r="B176">
        <f>COUNTIF(Sheet1!$F$2:$AG$60,allcase!A176)</f>
        <v>15</v>
      </c>
      <c r="D176" t="s">
        <v>212</v>
      </c>
      <c r="E176">
        <v>0</v>
      </c>
    </row>
    <row r="177" spans="1:5" x14ac:dyDescent="0.25">
      <c r="A177" t="s">
        <v>242</v>
      </c>
      <c r="B177">
        <f>COUNTIF(Sheet1!$F$2:$AG$60,allcase!A177)</f>
        <v>0</v>
      </c>
      <c r="D177" t="s">
        <v>213</v>
      </c>
      <c r="E177">
        <v>0</v>
      </c>
    </row>
    <row r="178" spans="1:5" x14ac:dyDescent="0.25">
      <c r="A178" t="s">
        <v>243</v>
      </c>
      <c r="B178">
        <f>COUNTIF(Sheet1!$F$2:$AG$60,allcase!A178)</f>
        <v>0</v>
      </c>
      <c r="D178" t="s">
        <v>214</v>
      </c>
      <c r="E178">
        <v>0</v>
      </c>
    </row>
    <row r="179" spans="1:5" x14ac:dyDescent="0.25">
      <c r="A179" t="s">
        <v>244</v>
      </c>
      <c r="B179">
        <f>COUNTIF(Sheet1!$F$2:$AG$60,allcase!A179)</f>
        <v>30</v>
      </c>
      <c r="D179" t="s">
        <v>215</v>
      </c>
      <c r="E179">
        <v>0</v>
      </c>
    </row>
    <row r="180" spans="1:5" x14ac:dyDescent="0.25">
      <c r="A180" t="s">
        <v>245</v>
      </c>
      <c r="B180">
        <f>COUNTIF(Sheet1!$F$2:$AG$60,allcase!A180)</f>
        <v>1</v>
      </c>
      <c r="D180" t="s">
        <v>216</v>
      </c>
      <c r="E180">
        <v>0</v>
      </c>
    </row>
    <row r="181" spans="1:5" x14ac:dyDescent="0.25">
      <c r="A181" t="s">
        <v>246</v>
      </c>
      <c r="B181">
        <f>COUNTIF(Sheet1!$F$2:$AG$60,allcase!A181)</f>
        <v>0</v>
      </c>
      <c r="D181" t="s">
        <v>217</v>
      </c>
      <c r="E181">
        <v>0</v>
      </c>
    </row>
    <row r="182" spans="1:5" x14ac:dyDescent="0.25">
      <c r="A182" t="s">
        <v>247</v>
      </c>
      <c r="B182">
        <f>COUNTIF(Sheet1!$F$2:$AG$60,allcase!A182)</f>
        <v>30</v>
      </c>
      <c r="D182" t="s">
        <v>218</v>
      </c>
      <c r="E182">
        <v>0</v>
      </c>
    </row>
    <row r="183" spans="1:5" x14ac:dyDescent="0.25">
      <c r="A183" t="s">
        <v>248</v>
      </c>
      <c r="B183">
        <f>COUNTIF(Sheet1!$F$2:$AG$60,allcase!A183)</f>
        <v>11</v>
      </c>
      <c r="D183" t="s">
        <v>219</v>
      </c>
      <c r="E183">
        <v>0</v>
      </c>
    </row>
    <row r="184" spans="1:5" x14ac:dyDescent="0.25">
      <c r="A184" t="s">
        <v>249</v>
      </c>
      <c r="B184">
        <f>COUNTIF(Sheet1!$F$2:$AG$60,allcase!A184)</f>
        <v>0</v>
      </c>
      <c r="D184" t="s">
        <v>220</v>
      </c>
      <c r="E184">
        <v>0</v>
      </c>
    </row>
    <row r="185" spans="1:5" x14ac:dyDescent="0.25">
      <c r="A185" t="s">
        <v>250</v>
      </c>
      <c r="B185">
        <f>COUNTIF(Sheet1!$F$2:$AG$60,allcase!A185)</f>
        <v>3</v>
      </c>
      <c r="D185" t="s">
        <v>221</v>
      </c>
      <c r="E185">
        <v>0</v>
      </c>
    </row>
    <row r="186" spans="1:5" x14ac:dyDescent="0.25">
      <c r="A186" t="s">
        <v>251</v>
      </c>
      <c r="B186">
        <f>COUNTIF(Sheet1!$F$2:$AG$60,allcase!A186)</f>
        <v>0</v>
      </c>
      <c r="D186" t="s">
        <v>222</v>
      </c>
      <c r="E186">
        <v>0</v>
      </c>
    </row>
    <row r="187" spans="1:5" x14ac:dyDescent="0.25">
      <c r="A187" t="s">
        <v>252</v>
      </c>
      <c r="B187">
        <f>COUNTIF(Sheet1!$F$2:$AG$60,allcase!A187)</f>
        <v>0</v>
      </c>
      <c r="D187" t="s">
        <v>224</v>
      </c>
      <c r="E187">
        <v>0</v>
      </c>
    </row>
    <row r="188" spans="1:5" x14ac:dyDescent="0.25">
      <c r="A188" t="s">
        <v>253</v>
      </c>
      <c r="B188">
        <f>COUNTIF(Sheet1!$F$2:$AG$60,allcase!A188)</f>
        <v>29</v>
      </c>
      <c r="D188" t="s">
        <v>225</v>
      </c>
      <c r="E188">
        <v>0</v>
      </c>
    </row>
    <row r="189" spans="1:5" x14ac:dyDescent="0.25">
      <c r="A189" t="s">
        <v>254</v>
      </c>
      <c r="B189">
        <f>COUNTIF(Sheet1!$F$2:$AG$60,allcase!A189)</f>
        <v>0</v>
      </c>
      <c r="D189" t="s">
        <v>227</v>
      </c>
      <c r="E189">
        <v>0</v>
      </c>
    </row>
    <row r="190" spans="1:5" x14ac:dyDescent="0.25">
      <c r="A190" t="s">
        <v>255</v>
      </c>
      <c r="B190">
        <f>COUNTIF(Sheet1!$F$2:$AG$60,allcase!A190)</f>
        <v>0</v>
      </c>
      <c r="D190" t="s">
        <v>228</v>
      </c>
      <c r="E190">
        <v>0</v>
      </c>
    </row>
    <row r="191" spans="1:5" x14ac:dyDescent="0.25">
      <c r="A191" t="s">
        <v>256</v>
      </c>
      <c r="B191">
        <f>COUNTIF(Sheet1!$F$2:$AG$60,allcase!A191)</f>
        <v>17</v>
      </c>
      <c r="D191" t="s">
        <v>230</v>
      </c>
      <c r="E191">
        <v>0</v>
      </c>
    </row>
    <row r="192" spans="1:5" x14ac:dyDescent="0.25">
      <c r="A192" t="s">
        <v>257</v>
      </c>
      <c r="B192">
        <f>COUNTIF(Sheet1!$F$2:$AG$60,allcase!A192)</f>
        <v>1</v>
      </c>
      <c r="D192" t="s">
        <v>231</v>
      </c>
      <c r="E192">
        <v>0</v>
      </c>
    </row>
    <row r="193" spans="1:5" x14ac:dyDescent="0.25">
      <c r="A193" t="s">
        <v>258</v>
      </c>
      <c r="B193">
        <f>COUNTIF(Sheet1!$F$2:$AG$60,allcase!A193)</f>
        <v>0</v>
      </c>
      <c r="D193" t="s">
        <v>233</v>
      </c>
      <c r="E193">
        <v>0</v>
      </c>
    </row>
    <row r="194" spans="1:5" x14ac:dyDescent="0.25">
      <c r="A194" t="s">
        <v>259</v>
      </c>
      <c r="B194">
        <f>COUNTIF(Sheet1!$F$2:$AG$60,allcase!A194)</f>
        <v>30</v>
      </c>
      <c r="D194" t="s">
        <v>234</v>
      </c>
      <c r="E194">
        <v>0</v>
      </c>
    </row>
    <row r="195" spans="1:5" x14ac:dyDescent="0.25">
      <c r="A195" t="s">
        <v>260</v>
      </c>
      <c r="B195">
        <f>COUNTIF(Sheet1!$F$2:$AG$60,allcase!A195)</f>
        <v>3</v>
      </c>
      <c r="D195" t="s">
        <v>235</v>
      </c>
      <c r="E195">
        <v>0</v>
      </c>
    </row>
    <row r="196" spans="1:5" x14ac:dyDescent="0.25">
      <c r="A196" t="s">
        <v>261</v>
      </c>
      <c r="B196">
        <f>COUNTIF(Sheet1!$F$2:$AG$60,allcase!A196)</f>
        <v>0</v>
      </c>
      <c r="D196" t="s">
        <v>236</v>
      </c>
      <c r="E196">
        <v>0</v>
      </c>
    </row>
    <row r="197" spans="1:5" x14ac:dyDescent="0.25">
      <c r="A197" t="s">
        <v>262</v>
      </c>
      <c r="B197">
        <f>COUNTIF(Sheet1!$F$2:$AG$60,allcase!A197)</f>
        <v>0</v>
      </c>
      <c r="D197" t="s">
        <v>237</v>
      </c>
      <c r="E197">
        <v>0</v>
      </c>
    </row>
    <row r="198" spans="1:5" x14ac:dyDescent="0.25">
      <c r="A198" t="s">
        <v>263</v>
      </c>
      <c r="B198">
        <f>COUNTIF(Sheet1!$F$2:$AG$60,allcase!A198)</f>
        <v>0</v>
      </c>
      <c r="D198" t="s">
        <v>240</v>
      </c>
      <c r="E198">
        <v>0</v>
      </c>
    </row>
    <row r="199" spans="1:5" x14ac:dyDescent="0.25">
      <c r="A199" t="s">
        <v>264</v>
      </c>
      <c r="B199">
        <f>COUNTIF(Sheet1!$F$2:$AG$60,allcase!A199)</f>
        <v>0</v>
      </c>
      <c r="D199" t="s">
        <v>242</v>
      </c>
      <c r="E199">
        <v>0</v>
      </c>
    </row>
    <row r="200" spans="1:5" x14ac:dyDescent="0.25">
      <c r="A200" t="s">
        <v>265</v>
      </c>
      <c r="B200">
        <f>COUNTIF(Sheet1!$F$2:$AG$60,allcase!A200)</f>
        <v>0</v>
      </c>
      <c r="D200" t="s">
        <v>243</v>
      </c>
      <c r="E200">
        <v>0</v>
      </c>
    </row>
    <row r="201" spans="1:5" x14ac:dyDescent="0.25">
      <c r="A201" t="s">
        <v>266</v>
      </c>
      <c r="B201">
        <f>COUNTIF(Sheet1!$F$2:$AG$60,allcase!A201)</f>
        <v>0</v>
      </c>
      <c r="D201" t="s">
        <v>246</v>
      </c>
      <c r="E201">
        <v>0</v>
      </c>
    </row>
    <row r="202" spans="1:5" x14ac:dyDescent="0.25">
      <c r="A202" t="s">
        <v>267</v>
      </c>
      <c r="B202">
        <f>COUNTIF(Sheet1!$F$2:$AG$60,allcase!A202)</f>
        <v>0</v>
      </c>
      <c r="D202" t="s">
        <v>249</v>
      </c>
      <c r="E202">
        <v>0</v>
      </c>
    </row>
    <row r="203" spans="1:5" x14ac:dyDescent="0.25">
      <c r="A203" t="s">
        <v>268</v>
      </c>
      <c r="B203">
        <f>COUNTIF(Sheet1!$F$2:$AG$60,allcase!A203)</f>
        <v>0</v>
      </c>
      <c r="D203" t="s">
        <v>251</v>
      </c>
      <c r="E203">
        <v>0</v>
      </c>
    </row>
    <row r="204" spans="1:5" x14ac:dyDescent="0.25">
      <c r="A204" t="s">
        <v>269</v>
      </c>
      <c r="B204">
        <f>COUNTIF(Sheet1!$F$2:$AG$60,allcase!A204)</f>
        <v>0</v>
      </c>
      <c r="D204" t="s">
        <v>252</v>
      </c>
      <c r="E204">
        <v>0</v>
      </c>
    </row>
    <row r="205" spans="1:5" x14ac:dyDescent="0.25">
      <c r="A205" t="s">
        <v>270</v>
      </c>
      <c r="B205">
        <f>COUNTIF(Sheet1!$F$2:$AG$60,allcase!A205)</f>
        <v>0</v>
      </c>
      <c r="D205" t="s">
        <v>254</v>
      </c>
      <c r="E205">
        <v>0</v>
      </c>
    </row>
    <row r="206" spans="1:5" x14ac:dyDescent="0.25">
      <c r="A206" t="s">
        <v>271</v>
      </c>
      <c r="B206">
        <f>COUNTIF(Sheet1!$F$2:$AG$60,allcase!A206)</f>
        <v>0</v>
      </c>
      <c r="D206" t="s">
        <v>255</v>
      </c>
      <c r="E206">
        <v>0</v>
      </c>
    </row>
    <row r="207" spans="1:5" x14ac:dyDescent="0.25">
      <c r="A207" t="s">
        <v>272</v>
      </c>
      <c r="B207">
        <f>COUNTIF(Sheet1!$F$2:$AG$60,allcase!A207)</f>
        <v>0</v>
      </c>
      <c r="D207" t="s">
        <v>258</v>
      </c>
      <c r="E207">
        <v>0</v>
      </c>
    </row>
    <row r="208" spans="1:5" x14ac:dyDescent="0.25">
      <c r="A208" t="s">
        <v>273</v>
      </c>
      <c r="B208">
        <f>COUNTIF(Sheet1!$F$2:$AG$60,allcase!A208)</f>
        <v>0</v>
      </c>
      <c r="D208" t="s">
        <v>261</v>
      </c>
      <c r="E208">
        <v>0</v>
      </c>
    </row>
    <row r="209" spans="1:5" x14ac:dyDescent="0.25">
      <c r="A209" t="s">
        <v>274</v>
      </c>
      <c r="B209">
        <f>COUNTIF(Sheet1!$F$2:$AG$60,allcase!A209)</f>
        <v>0</v>
      </c>
      <c r="D209" t="s">
        <v>262</v>
      </c>
      <c r="E209">
        <v>0</v>
      </c>
    </row>
    <row r="210" spans="1:5" x14ac:dyDescent="0.25">
      <c r="A210" t="s">
        <v>275</v>
      </c>
      <c r="B210">
        <f>COUNTIF(Sheet1!$F$2:$AG$60,allcase!A210)</f>
        <v>0</v>
      </c>
      <c r="D210" t="s">
        <v>263</v>
      </c>
      <c r="E210">
        <v>0</v>
      </c>
    </row>
    <row r="211" spans="1:5" x14ac:dyDescent="0.25">
      <c r="A211" t="s">
        <v>276</v>
      </c>
      <c r="B211">
        <f>COUNTIF(Sheet1!$F$2:$AG$60,allcase!A211)</f>
        <v>0</v>
      </c>
      <c r="D211" t="s">
        <v>264</v>
      </c>
      <c r="E211">
        <v>0</v>
      </c>
    </row>
    <row r="212" spans="1:5" x14ac:dyDescent="0.25">
      <c r="A212" t="s">
        <v>277</v>
      </c>
      <c r="B212">
        <f>COUNTIF(Sheet1!$F$2:$AG$60,allcase!A212)</f>
        <v>0</v>
      </c>
      <c r="D212" t="s">
        <v>265</v>
      </c>
      <c r="E212">
        <v>0</v>
      </c>
    </row>
    <row r="213" spans="1:5" x14ac:dyDescent="0.25">
      <c r="A213" t="s">
        <v>278</v>
      </c>
      <c r="B213">
        <f>COUNTIF(Sheet1!$F$2:$AG$60,allcase!A213)</f>
        <v>0</v>
      </c>
      <c r="D213" t="s">
        <v>266</v>
      </c>
      <c r="E213">
        <v>0</v>
      </c>
    </row>
    <row r="214" spans="1:5" x14ac:dyDescent="0.25">
      <c r="A214" t="s">
        <v>279</v>
      </c>
      <c r="B214">
        <f>COUNTIF(Sheet1!$F$2:$AG$60,allcase!A214)</f>
        <v>6</v>
      </c>
      <c r="D214" t="s">
        <v>267</v>
      </c>
      <c r="E214">
        <v>0</v>
      </c>
    </row>
    <row r="215" spans="1:5" x14ac:dyDescent="0.25">
      <c r="A215" t="s">
        <v>280</v>
      </c>
      <c r="B215">
        <f>COUNTIF(Sheet1!$F$2:$AG$60,allcase!A215)</f>
        <v>8</v>
      </c>
      <c r="D215" t="s">
        <v>268</v>
      </c>
      <c r="E215">
        <v>0</v>
      </c>
    </row>
    <row r="216" spans="1:5" x14ac:dyDescent="0.25">
      <c r="A216" t="s">
        <v>281</v>
      </c>
      <c r="B216">
        <f>COUNTIF(Sheet1!$F$2:$AG$60,allcase!A216)</f>
        <v>26</v>
      </c>
      <c r="D216" t="s">
        <v>269</v>
      </c>
      <c r="E216">
        <v>0</v>
      </c>
    </row>
    <row r="217" spans="1:5" x14ac:dyDescent="0.25">
      <c r="A217" t="s">
        <v>282</v>
      </c>
      <c r="B217">
        <f>COUNTIF(Sheet1!$F$2:$AG$60,allcase!A217)</f>
        <v>12</v>
      </c>
      <c r="D217" t="s">
        <v>270</v>
      </c>
      <c r="E217">
        <v>0</v>
      </c>
    </row>
    <row r="218" spans="1:5" x14ac:dyDescent="0.25">
      <c r="A218" t="s">
        <v>283</v>
      </c>
      <c r="B218">
        <f>COUNTIF(Sheet1!$F$2:$AG$60,allcase!A218)</f>
        <v>0</v>
      </c>
      <c r="D218" t="s">
        <v>271</v>
      </c>
      <c r="E218">
        <v>0</v>
      </c>
    </row>
    <row r="219" spans="1:5" x14ac:dyDescent="0.25">
      <c r="A219" t="s">
        <v>284</v>
      </c>
      <c r="B219">
        <f>COUNTIF(Sheet1!$F$2:$AG$60,allcase!A219)</f>
        <v>29</v>
      </c>
      <c r="D219" t="s">
        <v>272</v>
      </c>
      <c r="E219">
        <v>0</v>
      </c>
    </row>
    <row r="220" spans="1:5" x14ac:dyDescent="0.25">
      <c r="A220" t="s">
        <v>285</v>
      </c>
      <c r="B220">
        <f>COUNTIF(Sheet1!$F$2:$AG$60,allcase!A220)</f>
        <v>27</v>
      </c>
      <c r="D220" t="s">
        <v>273</v>
      </c>
      <c r="E220">
        <v>0</v>
      </c>
    </row>
    <row r="221" spans="1:5" x14ac:dyDescent="0.25">
      <c r="A221" t="s">
        <v>286</v>
      </c>
      <c r="B221">
        <f>COUNTIF(Sheet1!$F$2:$AG$60,allcase!A221)</f>
        <v>29</v>
      </c>
      <c r="D221" t="s">
        <v>274</v>
      </c>
      <c r="E221">
        <v>0</v>
      </c>
    </row>
    <row r="222" spans="1:5" x14ac:dyDescent="0.25">
      <c r="A222" t="s">
        <v>287</v>
      </c>
      <c r="B222">
        <f>COUNTIF(Sheet1!$F$2:$AG$60,allcase!A222)</f>
        <v>30</v>
      </c>
      <c r="D222" t="s">
        <v>275</v>
      </c>
      <c r="E222">
        <v>0</v>
      </c>
    </row>
    <row r="223" spans="1:5" x14ac:dyDescent="0.25">
      <c r="A223" t="s">
        <v>288</v>
      </c>
      <c r="B223">
        <f>COUNTIF(Sheet1!$F$2:$AG$60,allcase!A223)</f>
        <v>9</v>
      </c>
      <c r="D223" t="s">
        <v>276</v>
      </c>
      <c r="E223">
        <v>0</v>
      </c>
    </row>
    <row r="224" spans="1:5" x14ac:dyDescent="0.25">
      <c r="A224" t="s">
        <v>289</v>
      </c>
      <c r="B224">
        <f>COUNTIF(Sheet1!$F$2:$AG$60,allcase!A224)</f>
        <v>15</v>
      </c>
      <c r="D224" t="s">
        <v>277</v>
      </c>
      <c r="E224">
        <v>0</v>
      </c>
    </row>
    <row r="225" spans="1:5" x14ac:dyDescent="0.25">
      <c r="A225" t="s">
        <v>290</v>
      </c>
      <c r="B225">
        <f>COUNTIF(Sheet1!$F$2:$AG$60,allcase!A225)</f>
        <v>22</v>
      </c>
      <c r="D225" t="s">
        <v>278</v>
      </c>
      <c r="E225">
        <v>0</v>
      </c>
    </row>
    <row r="226" spans="1:5" x14ac:dyDescent="0.25">
      <c r="A226" t="s">
        <v>291</v>
      </c>
      <c r="B226">
        <f>COUNTIF(Sheet1!$F$2:$AG$60,allcase!A226)</f>
        <v>29</v>
      </c>
      <c r="D226" t="s">
        <v>283</v>
      </c>
      <c r="E226">
        <v>0</v>
      </c>
    </row>
    <row r="227" spans="1:5" x14ac:dyDescent="0.25">
      <c r="A227" t="s">
        <v>292</v>
      </c>
      <c r="B227">
        <f>COUNTIF(Sheet1!$F$2:$AG$60,allcase!A227)</f>
        <v>0</v>
      </c>
      <c r="D227" t="s">
        <v>292</v>
      </c>
      <c r="E227">
        <v>0</v>
      </c>
    </row>
    <row r="228" spans="1:5" x14ac:dyDescent="0.25">
      <c r="A228" t="s">
        <v>293</v>
      </c>
      <c r="B228">
        <f>COUNTIF(Sheet1!$F$2:$AG$60,allcase!A228)</f>
        <v>0</v>
      </c>
      <c r="D228" t="s">
        <v>293</v>
      </c>
      <c r="E228">
        <v>0</v>
      </c>
    </row>
    <row r="229" spans="1:5" x14ac:dyDescent="0.25">
      <c r="A229" t="s">
        <v>294</v>
      </c>
      <c r="B229">
        <f>COUNTIF(Sheet1!$F$2:$AG$60,allcase!A229)</f>
        <v>0</v>
      </c>
      <c r="D229" t="s">
        <v>294</v>
      </c>
      <c r="E229">
        <v>0</v>
      </c>
    </row>
    <row r="230" spans="1:5" x14ac:dyDescent="0.25">
      <c r="A230" t="s">
        <v>295</v>
      </c>
      <c r="B230">
        <f>COUNTIF(Sheet1!$F$2:$AG$60,allcase!A230)</f>
        <v>0</v>
      </c>
      <c r="D230" t="s">
        <v>295</v>
      </c>
      <c r="E230">
        <v>0</v>
      </c>
    </row>
    <row r="231" spans="1:5" x14ac:dyDescent="0.25">
      <c r="A231" t="s">
        <v>296</v>
      </c>
      <c r="B231">
        <f>COUNTIF(Sheet1!$F$2:$AG$60,allcase!A231)</f>
        <v>0</v>
      </c>
      <c r="D231" t="s">
        <v>296</v>
      </c>
      <c r="E231">
        <v>0</v>
      </c>
    </row>
    <row r="232" spans="1:5" x14ac:dyDescent="0.25">
      <c r="A232" t="s">
        <v>297</v>
      </c>
      <c r="B232">
        <f>COUNTIF(Sheet1!$F$2:$AG$60,allcase!A232)</f>
        <v>0</v>
      </c>
      <c r="D232" t="s">
        <v>297</v>
      </c>
      <c r="E232">
        <v>0</v>
      </c>
    </row>
    <row r="233" spans="1:5" x14ac:dyDescent="0.25">
      <c r="A233" t="s">
        <v>298</v>
      </c>
      <c r="B233">
        <f>COUNTIF(Sheet1!$F$2:$AG$60,allcase!A233)</f>
        <v>0</v>
      </c>
      <c r="D233" t="s">
        <v>298</v>
      </c>
      <c r="E233">
        <v>0</v>
      </c>
    </row>
    <row r="234" spans="1:5" x14ac:dyDescent="0.25">
      <c r="A234" t="s">
        <v>299</v>
      </c>
      <c r="B234">
        <f>COUNTIF(Sheet1!$F$2:$AG$60,allcase!A234)</f>
        <v>0</v>
      </c>
      <c r="D234" t="s">
        <v>299</v>
      </c>
      <c r="E234">
        <v>0</v>
      </c>
    </row>
    <row r="235" spans="1:5" x14ac:dyDescent="0.25">
      <c r="A235" t="s">
        <v>300</v>
      </c>
      <c r="B235">
        <f>COUNTIF(Sheet1!$F$2:$AG$60,allcase!A235)</f>
        <v>0</v>
      </c>
      <c r="D235" t="s">
        <v>300</v>
      </c>
      <c r="E235">
        <v>0</v>
      </c>
    </row>
    <row r="236" spans="1:5" x14ac:dyDescent="0.25">
      <c r="A236" t="s">
        <v>301</v>
      </c>
      <c r="B236">
        <f>COUNTIF(Sheet1!$F$2:$AG$60,allcase!A236)</f>
        <v>0</v>
      </c>
      <c r="D236" t="s">
        <v>301</v>
      </c>
      <c r="E236">
        <v>0</v>
      </c>
    </row>
    <row r="237" spans="1:5" x14ac:dyDescent="0.25">
      <c r="A237" t="s">
        <v>302</v>
      </c>
      <c r="B237">
        <f>COUNTIF(Sheet1!$F$2:$AG$60,allcase!A237)</f>
        <v>0</v>
      </c>
      <c r="D237" t="s">
        <v>302</v>
      </c>
      <c r="E237">
        <v>0</v>
      </c>
    </row>
  </sheetData>
  <sortState xmlns:xlrd2="http://schemas.microsoft.com/office/spreadsheetml/2017/richdata2" ref="G2:H239">
    <sortCondition ref="G1:G23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909A-6704-491C-89F3-BE45E47B05C2}">
  <dimension ref="A1:H237"/>
  <sheetViews>
    <sheetView workbookViewId="0">
      <selection activeCell="G1" sqref="G1:H48"/>
    </sheetView>
  </sheetViews>
  <sheetFormatPr defaultRowHeight="15" x14ac:dyDescent="0.25"/>
  <sheetData>
    <row r="1" spans="1:8" x14ac:dyDescent="0.25">
      <c r="A1" t="s">
        <v>303</v>
      </c>
      <c r="B1" t="s">
        <v>4</v>
      </c>
      <c r="D1" t="s">
        <v>303</v>
      </c>
      <c r="E1" t="s">
        <v>4</v>
      </c>
      <c r="G1" t="s">
        <v>303</v>
      </c>
      <c r="H1" t="s">
        <v>4</v>
      </c>
    </row>
    <row r="2" spans="1:8" x14ac:dyDescent="0.25">
      <c r="A2" t="s">
        <v>67</v>
      </c>
      <c r="B2">
        <f>COUNTIF(Sheet1!$F$2:$AF$21,allcase!A2)</f>
        <v>0</v>
      </c>
      <c r="D2" t="s">
        <v>143</v>
      </c>
      <c r="E2">
        <v>10</v>
      </c>
      <c r="G2" t="s">
        <v>143</v>
      </c>
      <c r="H2">
        <v>10</v>
      </c>
    </row>
    <row r="3" spans="1:8" x14ac:dyDescent="0.25">
      <c r="A3" t="s">
        <v>68</v>
      </c>
      <c r="B3">
        <f>COUNTIF(Sheet1!$F$2:$AF$21,allcase!A3)</f>
        <v>0</v>
      </c>
      <c r="D3" t="s">
        <v>149</v>
      </c>
      <c r="E3">
        <v>10</v>
      </c>
      <c r="G3" t="s">
        <v>149</v>
      </c>
      <c r="H3">
        <v>10</v>
      </c>
    </row>
    <row r="4" spans="1:8" x14ac:dyDescent="0.25">
      <c r="A4" t="s">
        <v>69</v>
      </c>
      <c r="B4">
        <f>COUNTIF(Sheet1!$F$2:$AF$21,allcase!A4)</f>
        <v>0</v>
      </c>
      <c r="D4" t="s">
        <v>155</v>
      </c>
      <c r="E4">
        <v>10</v>
      </c>
      <c r="G4" t="s">
        <v>155</v>
      </c>
      <c r="H4">
        <v>10</v>
      </c>
    </row>
    <row r="5" spans="1:8" x14ac:dyDescent="0.25">
      <c r="A5" t="s">
        <v>70</v>
      </c>
      <c r="B5">
        <f>COUNTIF(Sheet1!$F$2:$AF$21,allcase!A5)</f>
        <v>0</v>
      </c>
      <c r="D5" t="s">
        <v>156</v>
      </c>
      <c r="E5">
        <v>10</v>
      </c>
      <c r="G5" t="s">
        <v>156</v>
      </c>
      <c r="H5">
        <v>10</v>
      </c>
    </row>
    <row r="6" spans="1:8" x14ac:dyDescent="0.25">
      <c r="A6" t="s">
        <v>71</v>
      </c>
      <c r="B6">
        <f>COUNTIF(Sheet1!$F$2:$AF$21,allcase!A6)</f>
        <v>0</v>
      </c>
      <c r="D6" t="s">
        <v>158</v>
      </c>
      <c r="E6">
        <v>10</v>
      </c>
      <c r="G6" t="s">
        <v>158</v>
      </c>
      <c r="H6">
        <v>10</v>
      </c>
    </row>
    <row r="7" spans="1:8" x14ac:dyDescent="0.25">
      <c r="A7" t="s">
        <v>72</v>
      </c>
      <c r="B7">
        <f>COUNTIF(Sheet1!$F$2:$AF$21,allcase!A7)</f>
        <v>0</v>
      </c>
      <c r="D7" t="s">
        <v>161</v>
      </c>
      <c r="E7">
        <v>10</v>
      </c>
      <c r="G7" t="s">
        <v>161</v>
      </c>
      <c r="H7">
        <v>10</v>
      </c>
    </row>
    <row r="8" spans="1:8" x14ac:dyDescent="0.25">
      <c r="A8" t="s">
        <v>73</v>
      </c>
      <c r="B8">
        <f>COUNTIF(Sheet1!$F$2:$AF$21,allcase!A8)</f>
        <v>0</v>
      </c>
      <c r="D8" t="s">
        <v>173</v>
      </c>
      <c r="E8">
        <v>10</v>
      </c>
      <c r="G8" t="s">
        <v>173</v>
      </c>
      <c r="H8">
        <v>10</v>
      </c>
    </row>
    <row r="9" spans="1:8" x14ac:dyDescent="0.25">
      <c r="A9" t="s">
        <v>74</v>
      </c>
      <c r="B9">
        <f>COUNTIF(Sheet1!$F$2:$AF$21,allcase!A9)</f>
        <v>0</v>
      </c>
      <c r="D9" t="s">
        <v>184</v>
      </c>
      <c r="E9">
        <v>10</v>
      </c>
      <c r="G9" t="s">
        <v>184</v>
      </c>
      <c r="H9">
        <v>10</v>
      </c>
    </row>
    <row r="10" spans="1:8" x14ac:dyDescent="0.25">
      <c r="A10" t="s">
        <v>75</v>
      </c>
      <c r="B10">
        <f>COUNTIF(Sheet1!$F$2:$AF$21,allcase!A10)</f>
        <v>0</v>
      </c>
      <c r="D10" t="s">
        <v>185</v>
      </c>
      <c r="E10">
        <v>10</v>
      </c>
      <c r="G10" t="s">
        <v>185</v>
      </c>
      <c r="H10">
        <v>10</v>
      </c>
    </row>
    <row r="11" spans="1:8" x14ac:dyDescent="0.25">
      <c r="A11" t="s">
        <v>76</v>
      </c>
      <c r="B11">
        <f>COUNTIF(Sheet1!$F$2:$AF$21,allcase!A11)</f>
        <v>0</v>
      </c>
      <c r="D11" t="s">
        <v>229</v>
      </c>
      <c r="E11">
        <v>10</v>
      </c>
      <c r="G11" t="s">
        <v>229</v>
      </c>
      <c r="H11">
        <v>10</v>
      </c>
    </row>
    <row r="12" spans="1:8" x14ac:dyDescent="0.25">
      <c r="A12" t="s">
        <v>77</v>
      </c>
      <c r="B12">
        <f>COUNTIF(Sheet1!$F$2:$AF$21,allcase!A12)</f>
        <v>0</v>
      </c>
      <c r="D12" t="s">
        <v>238</v>
      </c>
      <c r="E12">
        <v>10</v>
      </c>
      <c r="G12" t="s">
        <v>238</v>
      </c>
      <c r="H12">
        <v>10</v>
      </c>
    </row>
    <row r="13" spans="1:8" x14ac:dyDescent="0.25">
      <c r="A13" t="s">
        <v>78</v>
      </c>
      <c r="B13">
        <f>COUNTIF(Sheet1!$F$2:$AF$21,allcase!A13)</f>
        <v>0</v>
      </c>
      <c r="D13" t="s">
        <v>244</v>
      </c>
      <c r="E13">
        <v>10</v>
      </c>
      <c r="G13" t="s">
        <v>244</v>
      </c>
      <c r="H13">
        <v>10</v>
      </c>
    </row>
    <row r="14" spans="1:8" x14ac:dyDescent="0.25">
      <c r="A14" t="s">
        <v>79</v>
      </c>
      <c r="B14">
        <f>COUNTIF(Sheet1!$F$2:$AF$21,allcase!A14)</f>
        <v>0</v>
      </c>
      <c r="D14" t="s">
        <v>247</v>
      </c>
      <c r="E14">
        <v>10</v>
      </c>
      <c r="G14" t="s">
        <v>247</v>
      </c>
      <c r="H14">
        <v>10</v>
      </c>
    </row>
    <row r="15" spans="1:8" x14ac:dyDescent="0.25">
      <c r="A15" t="s">
        <v>80</v>
      </c>
      <c r="B15">
        <f>COUNTIF(Sheet1!$F$2:$AF$21,allcase!A15)</f>
        <v>0</v>
      </c>
      <c r="D15" t="s">
        <v>253</v>
      </c>
      <c r="E15">
        <v>10</v>
      </c>
      <c r="G15" t="s">
        <v>253</v>
      </c>
      <c r="H15">
        <v>10</v>
      </c>
    </row>
    <row r="16" spans="1:8" x14ac:dyDescent="0.25">
      <c r="A16" t="s">
        <v>81</v>
      </c>
      <c r="B16">
        <f>COUNTIF(Sheet1!$F$2:$AF$21,allcase!A16)</f>
        <v>0</v>
      </c>
      <c r="D16" t="s">
        <v>259</v>
      </c>
      <c r="E16">
        <v>10</v>
      </c>
      <c r="G16" t="s">
        <v>259</v>
      </c>
      <c r="H16">
        <v>10</v>
      </c>
    </row>
    <row r="17" spans="1:8" x14ac:dyDescent="0.25">
      <c r="A17" t="s">
        <v>82</v>
      </c>
      <c r="B17">
        <f>COUNTIF(Sheet1!$F$2:$AF$21,allcase!A17)</f>
        <v>0</v>
      </c>
      <c r="D17" t="s">
        <v>284</v>
      </c>
      <c r="E17">
        <v>10</v>
      </c>
      <c r="G17" t="s">
        <v>284</v>
      </c>
      <c r="H17">
        <v>10</v>
      </c>
    </row>
    <row r="18" spans="1:8" x14ac:dyDescent="0.25">
      <c r="A18" t="s">
        <v>83</v>
      </c>
      <c r="B18">
        <f>COUNTIF(Sheet1!$F$2:$AF$21,allcase!A18)</f>
        <v>0</v>
      </c>
      <c r="D18" t="s">
        <v>286</v>
      </c>
      <c r="E18">
        <v>10</v>
      </c>
      <c r="G18" t="s">
        <v>286</v>
      </c>
      <c r="H18">
        <v>10</v>
      </c>
    </row>
    <row r="19" spans="1:8" x14ac:dyDescent="0.25">
      <c r="A19" t="s">
        <v>84</v>
      </c>
      <c r="B19">
        <f>COUNTIF(Sheet1!$F$2:$AF$21,allcase!A19)</f>
        <v>0</v>
      </c>
      <c r="D19" t="s">
        <v>287</v>
      </c>
      <c r="E19">
        <v>10</v>
      </c>
      <c r="G19" t="s">
        <v>287</v>
      </c>
      <c r="H19">
        <v>10</v>
      </c>
    </row>
    <row r="20" spans="1:8" x14ac:dyDescent="0.25">
      <c r="A20" t="s">
        <v>85</v>
      </c>
      <c r="B20">
        <f>COUNTIF(Sheet1!$F$2:$AF$21,allcase!A20)</f>
        <v>0</v>
      </c>
      <c r="D20" t="s">
        <v>226</v>
      </c>
      <c r="E20">
        <v>9</v>
      </c>
      <c r="G20" t="s">
        <v>226</v>
      </c>
      <c r="H20">
        <v>9</v>
      </c>
    </row>
    <row r="21" spans="1:8" x14ac:dyDescent="0.25">
      <c r="A21" t="s">
        <v>86</v>
      </c>
      <c r="B21">
        <f>COUNTIF(Sheet1!$F$2:$AF$21,allcase!A21)</f>
        <v>0</v>
      </c>
      <c r="D21" t="s">
        <v>291</v>
      </c>
      <c r="E21">
        <v>9</v>
      </c>
      <c r="G21" t="s">
        <v>291</v>
      </c>
      <c r="H21">
        <v>9</v>
      </c>
    </row>
    <row r="22" spans="1:8" x14ac:dyDescent="0.25">
      <c r="A22" t="s">
        <v>87</v>
      </c>
      <c r="B22">
        <f>COUNTIF(Sheet1!$F$2:$AF$21,allcase!A22)</f>
        <v>0</v>
      </c>
      <c r="D22" t="s">
        <v>223</v>
      </c>
      <c r="E22">
        <v>8</v>
      </c>
      <c r="G22" t="s">
        <v>223</v>
      </c>
      <c r="H22">
        <v>8</v>
      </c>
    </row>
    <row r="23" spans="1:8" x14ac:dyDescent="0.25">
      <c r="A23" t="s">
        <v>88</v>
      </c>
      <c r="B23">
        <f>COUNTIF(Sheet1!$F$2:$AF$21,allcase!A23)</f>
        <v>0</v>
      </c>
      <c r="D23" t="s">
        <v>281</v>
      </c>
      <c r="E23">
        <v>8</v>
      </c>
      <c r="G23" t="s">
        <v>281</v>
      </c>
      <c r="H23">
        <v>8</v>
      </c>
    </row>
    <row r="24" spans="1:8" x14ac:dyDescent="0.25">
      <c r="A24" t="s">
        <v>89</v>
      </c>
      <c r="B24">
        <f>COUNTIF(Sheet1!$F$2:$AF$21,allcase!A24)</f>
        <v>0</v>
      </c>
      <c r="D24" t="s">
        <v>138</v>
      </c>
      <c r="E24">
        <v>7</v>
      </c>
      <c r="G24" t="s">
        <v>138</v>
      </c>
      <c r="H24">
        <v>7</v>
      </c>
    </row>
    <row r="25" spans="1:8" x14ac:dyDescent="0.25">
      <c r="A25" t="s">
        <v>90</v>
      </c>
      <c r="B25">
        <f>COUNTIF(Sheet1!$F$2:$AF$21,allcase!A25)</f>
        <v>0</v>
      </c>
      <c r="D25" t="s">
        <v>160</v>
      </c>
      <c r="E25">
        <v>7</v>
      </c>
      <c r="G25" t="s">
        <v>160</v>
      </c>
      <c r="H25">
        <v>7</v>
      </c>
    </row>
    <row r="26" spans="1:8" x14ac:dyDescent="0.25">
      <c r="A26" t="s">
        <v>91</v>
      </c>
      <c r="B26">
        <f>COUNTIF(Sheet1!$F$2:$AF$21,allcase!A26)</f>
        <v>0</v>
      </c>
      <c r="D26" t="s">
        <v>172</v>
      </c>
      <c r="E26">
        <v>7</v>
      </c>
      <c r="G26" t="s">
        <v>172</v>
      </c>
      <c r="H26">
        <v>7</v>
      </c>
    </row>
    <row r="27" spans="1:8" x14ac:dyDescent="0.25">
      <c r="A27" t="s">
        <v>92</v>
      </c>
      <c r="B27">
        <f>COUNTIF(Sheet1!$F$2:$AF$21,allcase!A27)</f>
        <v>0</v>
      </c>
      <c r="D27" t="s">
        <v>179</v>
      </c>
      <c r="E27">
        <v>7</v>
      </c>
      <c r="G27" t="s">
        <v>179</v>
      </c>
      <c r="H27">
        <v>7</v>
      </c>
    </row>
    <row r="28" spans="1:8" x14ac:dyDescent="0.25">
      <c r="A28" t="s">
        <v>93</v>
      </c>
      <c r="B28">
        <f>COUNTIF(Sheet1!$F$2:$AF$21,allcase!A28)</f>
        <v>0</v>
      </c>
      <c r="D28" t="s">
        <v>182</v>
      </c>
      <c r="E28">
        <v>7</v>
      </c>
      <c r="G28" t="s">
        <v>182</v>
      </c>
      <c r="H28">
        <v>7</v>
      </c>
    </row>
    <row r="29" spans="1:8" x14ac:dyDescent="0.25">
      <c r="A29" t="s">
        <v>94</v>
      </c>
      <c r="B29">
        <f>COUNTIF(Sheet1!$F$2:$AF$21,allcase!A29)</f>
        <v>0</v>
      </c>
      <c r="D29" t="s">
        <v>232</v>
      </c>
      <c r="E29">
        <v>7</v>
      </c>
      <c r="G29" t="s">
        <v>232</v>
      </c>
      <c r="H29">
        <v>7</v>
      </c>
    </row>
    <row r="30" spans="1:8" x14ac:dyDescent="0.25">
      <c r="A30" t="s">
        <v>95</v>
      </c>
      <c r="B30">
        <f>COUNTIF(Sheet1!$F$2:$AF$21,allcase!A30)</f>
        <v>0</v>
      </c>
      <c r="D30" t="s">
        <v>241</v>
      </c>
      <c r="E30">
        <v>7</v>
      </c>
      <c r="G30" t="s">
        <v>241</v>
      </c>
      <c r="H30">
        <v>7</v>
      </c>
    </row>
    <row r="31" spans="1:8" x14ac:dyDescent="0.25">
      <c r="A31" t="s">
        <v>96</v>
      </c>
      <c r="B31">
        <f>COUNTIF(Sheet1!$F$2:$AF$21,allcase!A31)</f>
        <v>0</v>
      </c>
      <c r="D31" t="s">
        <v>256</v>
      </c>
      <c r="E31">
        <v>7</v>
      </c>
      <c r="G31" t="s">
        <v>256</v>
      </c>
      <c r="H31">
        <v>7</v>
      </c>
    </row>
    <row r="32" spans="1:8" x14ac:dyDescent="0.25">
      <c r="A32" t="s">
        <v>97</v>
      </c>
      <c r="B32">
        <f>COUNTIF(Sheet1!$F$2:$AF$21,allcase!A32)</f>
        <v>0</v>
      </c>
      <c r="D32" t="s">
        <v>285</v>
      </c>
      <c r="E32">
        <v>7</v>
      </c>
      <c r="G32" t="s">
        <v>285</v>
      </c>
      <c r="H32">
        <v>7</v>
      </c>
    </row>
    <row r="33" spans="1:8" x14ac:dyDescent="0.25">
      <c r="A33" t="s">
        <v>98</v>
      </c>
      <c r="B33">
        <f>COUNTIF(Sheet1!$F$2:$AF$21,allcase!A33)</f>
        <v>0</v>
      </c>
      <c r="D33" t="s">
        <v>178</v>
      </c>
      <c r="E33">
        <v>6</v>
      </c>
      <c r="G33" t="s">
        <v>178</v>
      </c>
      <c r="H33">
        <v>6</v>
      </c>
    </row>
    <row r="34" spans="1:8" x14ac:dyDescent="0.25">
      <c r="A34" t="s">
        <v>99</v>
      </c>
      <c r="B34">
        <f>COUNTIF(Sheet1!$F$2:$AF$21,allcase!A34)</f>
        <v>0</v>
      </c>
      <c r="D34" t="s">
        <v>290</v>
      </c>
      <c r="E34">
        <v>6</v>
      </c>
      <c r="G34" t="s">
        <v>290</v>
      </c>
      <c r="H34">
        <v>6</v>
      </c>
    </row>
    <row r="35" spans="1:8" x14ac:dyDescent="0.25">
      <c r="A35" t="s">
        <v>100</v>
      </c>
      <c r="B35">
        <f>COUNTIF(Sheet1!$F$2:$AF$21,allcase!A35)</f>
        <v>0</v>
      </c>
      <c r="D35" t="s">
        <v>140</v>
      </c>
      <c r="E35">
        <v>5</v>
      </c>
      <c r="G35" t="s">
        <v>140</v>
      </c>
      <c r="H35">
        <v>5</v>
      </c>
    </row>
    <row r="36" spans="1:8" x14ac:dyDescent="0.25">
      <c r="A36" t="s">
        <v>101</v>
      </c>
      <c r="B36">
        <f>COUNTIF(Sheet1!$F$2:$AF$21,allcase!A36)</f>
        <v>0</v>
      </c>
      <c r="D36" t="s">
        <v>168</v>
      </c>
      <c r="E36">
        <v>5</v>
      </c>
      <c r="G36" t="s">
        <v>168</v>
      </c>
      <c r="H36">
        <v>5</v>
      </c>
    </row>
    <row r="37" spans="1:8" x14ac:dyDescent="0.25">
      <c r="A37" t="s">
        <v>102</v>
      </c>
      <c r="B37">
        <f>COUNTIF(Sheet1!$F$2:$AF$21,allcase!A37)</f>
        <v>0</v>
      </c>
      <c r="D37" t="s">
        <v>248</v>
      </c>
      <c r="E37">
        <v>4</v>
      </c>
      <c r="G37" t="s">
        <v>248</v>
      </c>
      <c r="H37">
        <v>4</v>
      </c>
    </row>
    <row r="38" spans="1:8" x14ac:dyDescent="0.25">
      <c r="A38" t="s">
        <v>103</v>
      </c>
      <c r="B38">
        <f>COUNTIF(Sheet1!$F$2:$AF$21,allcase!A38)</f>
        <v>0</v>
      </c>
      <c r="D38" t="s">
        <v>152</v>
      </c>
      <c r="E38">
        <v>3</v>
      </c>
      <c r="G38" t="s">
        <v>152</v>
      </c>
      <c r="H38">
        <v>3</v>
      </c>
    </row>
    <row r="39" spans="1:8" x14ac:dyDescent="0.25">
      <c r="A39" t="s">
        <v>104</v>
      </c>
      <c r="B39">
        <f>COUNTIF(Sheet1!$F$2:$AF$21,allcase!A39)</f>
        <v>0</v>
      </c>
      <c r="D39" t="s">
        <v>180</v>
      </c>
      <c r="E39">
        <v>3</v>
      </c>
      <c r="G39" t="s">
        <v>180</v>
      </c>
      <c r="H39">
        <v>3</v>
      </c>
    </row>
    <row r="40" spans="1:8" x14ac:dyDescent="0.25">
      <c r="A40" t="s">
        <v>105</v>
      </c>
      <c r="B40">
        <f>COUNTIF(Sheet1!$F$2:$AF$21,allcase!A40)</f>
        <v>0</v>
      </c>
      <c r="D40" t="s">
        <v>289</v>
      </c>
      <c r="E40">
        <v>3</v>
      </c>
      <c r="G40" t="s">
        <v>289</v>
      </c>
      <c r="H40">
        <v>3</v>
      </c>
    </row>
    <row r="41" spans="1:8" x14ac:dyDescent="0.25">
      <c r="A41" t="s">
        <v>106</v>
      </c>
      <c r="B41">
        <f>COUNTIF(Sheet1!$F$2:$AF$21,allcase!A41)</f>
        <v>0</v>
      </c>
      <c r="D41" t="s">
        <v>176</v>
      </c>
      <c r="E41">
        <v>2</v>
      </c>
      <c r="G41" t="s">
        <v>176</v>
      </c>
      <c r="H41">
        <v>2</v>
      </c>
    </row>
    <row r="42" spans="1:8" x14ac:dyDescent="0.25">
      <c r="A42" t="s">
        <v>107</v>
      </c>
      <c r="B42">
        <f>COUNTIF(Sheet1!$F$2:$AF$21,allcase!A42)</f>
        <v>0</v>
      </c>
      <c r="D42" t="s">
        <v>282</v>
      </c>
      <c r="E42">
        <v>2</v>
      </c>
      <c r="G42" t="s">
        <v>282</v>
      </c>
      <c r="H42">
        <v>2</v>
      </c>
    </row>
    <row r="43" spans="1:8" x14ac:dyDescent="0.25">
      <c r="A43" t="s">
        <v>108</v>
      </c>
      <c r="B43">
        <f>COUNTIF(Sheet1!$F$2:$AF$21,allcase!A43)</f>
        <v>0</v>
      </c>
      <c r="D43" t="s">
        <v>113</v>
      </c>
      <c r="E43">
        <v>1</v>
      </c>
      <c r="G43" t="s">
        <v>113</v>
      </c>
      <c r="H43">
        <v>1</v>
      </c>
    </row>
    <row r="44" spans="1:8" x14ac:dyDescent="0.25">
      <c r="A44" t="s">
        <v>109</v>
      </c>
      <c r="B44">
        <f>COUNTIF(Sheet1!$F$2:$AF$21,allcase!A44)</f>
        <v>0</v>
      </c>
      <c r="D44" t="s">
        <v>150</v>
      </c>
      <c r="E44">
        <v>1</v>
      </c>
      <c r="G44" t="s">
        <v>150</v>
      </c>
      <c r="H44">
        <v>1</v>
      </c>
    </row>
    <row r="45" spans="1:8" x14ac:dyDescent="0.25">
      <c r="A45" t="s">
        <v>110</v>
      </c>
      <c r="B45">
        <f>COUNTIF(Sheet1!$F$2:$AF$21,allcase!A45)</f>
        <v>0</v>
      </c>
      <c r="D45" t="s">
        <v>166</v>
      </c>
      <c r="E45">
        <v>1</v>
      </c>
      <c r="G45" t="s">
        <v>166</v>
      </c>
      <c r="H45">
        <v>1</v>
      </c>
    </row>
    <row r="46" spans="1:8" x14ac:dyDescent="0.25">
      <c r="A46" t="s">
        <v>111</v>
      </c>
      <c r="B46">
        <f>COUNTIF(Sheet1!$F$2:$AF$21,allcase!A46)</f>
        <v>0</v>
      </c>
      <c r="D46" t="s">
        <v>167</v>
      </c>
      <c r="E46">
        <v>1</v>
      </c>
      <c r="G46" t="s">
        <v>167</v>
      </c>
      <c r="H46">
        <v>1</v>
      </c>
    </row>
    <row r="47" spans="1:8" x14ac:dyDescent="0.25">
      <c r="A47" t="s">
        <v>112</v>
      </c>
      <c r="B47">
        <f>COUNTIF(Sheet1!$F$2:$AF$21,allcase!A47)</f>
        <v>0</v>
      </c>
      <c r="D47" t="s">
        <v>279</v>
      </c>
      <c r="E47">
        <v>1</v>
      </c>
      <c r="G47" t="s">
        <v>279</v>
      </c>
      <c r="H47">
        <v>1</v>
      </c>
    </row>
    <row r="48" spans="1:8" x14ac:dyDescent="0.25">
      <c r="A48" t="s">
        <v>113</v>
      </c>
      <c r="B48">
        <f>COUNTIF(Sheet1!$F$2:$AF$21,allcase!A48)</f>
        <v>1</v>
      </c>
      <c r="D48" t="s">
        <v>280</v>
      </c>
      <c r="E48">
        <v>1</v>
      </c>
      <c r="G48" t="s">
        <v>280</v>
      </c>
      <c r="H48">
        <v>1</v>
      </c>
    </row>
    <row r="49" spans="1:5" x14ac:dyDescent="0.25">
      <c r="A49" t="s">
        <v>114</v>
      </c>
      <c r="B49">
        <f>COUNTIF(Sheet1!$F$2:$AF$21,allcase!A49)</f>
        <v>0</v>
      </c>
      <c r="D49" t="s">
        <v>67</v>
      </c>
      <c r="E49">
        <v>0</v>
      </c>
    </row>
    <row r="50" spans="1:5" x14ac:dyDescent="0.25">
      <c r="A50" t="s">
        <v>115</v>
      </c>
      <c r="B50">
        <f>COUNTIF(Sheet1!$F$2:$AF$21,allcase!A50)</f>
        <v>0</v>
      </c>
      <c r="D50" t="s">
        <v>68</v>
      </c>
      <c r="E50">
        <v>0</v>
      </c>
    </row>
    <row r="51" spans="1:5" x14ac:dyDescent="0.25">
      <c r="A51" t="s">
        <v>116</v>
      </c>
      <c r="B51">
        <f>COUNTIF(Sheet1!$F$2:$AF$21,allcase!A51)</f>
        <v>0</v>
      </c>
      <c r="D51" t="s">
        <v>69</v>
      </c>
      <c r="E51">
        <v>0</v>
      </c>
    </row>
    <row r="52" spans="1:5" x14ac:dyDescent="0.25">
      <c r="A52" t="s">
        <v>117</v>
      </c>
      <c r="B52">
        <f>COUNTIF(Sheet1!$F$2:$AF$21,allcase!A52)</f>
        <v>0</v>
      </c>
      <c r="D52" t="s">
        <v>70</v>
      </c>
      <c r="E52">
        <v>0</v>
      </c>
    </row>
    <row r="53" spans="1:5" x14ac:dyDescent="0.25">
      <c r="A53" t="s">
        <v>118</v>
      </c>
      <c r="B53">
        <f>COUNTIF(Sheet1!$F$2:$AF$21,allcase!A53)</f>
        <v>0</v>
      </c>
      <c r="D53" t="s">
        <v>71</v>
      </c>
      <c r="E53">
        <v>0</v>
      </c>
    </row>
    <row r="54" spans="1:5" x14ac:dyDescent="0.25">
      <c r="A54" t="s">
        <v>119</v>
      </c>
      <c r="B54">
        <f>COUNTIF(Sheet1!$F$2:$AF$21,allcase!A54)</f>
        <v>0</v>
      </c>
      <c r="D54" t="s">
        <v>72</v>
      </c>
      <c r="E54">
        <v>0</v>
      </c>
    </row>
    <row r="55" spans="1:5" x14ac:dyDescent="0.25">
      <c r="A55" t="s">
        <v>120</v>
      </c>
      <c r="B55">
        <f>COUNTIF(Sheet1!$F$2:$AF$21,allcase!A55)</f>
        <v>0</v>
      </c>
      <c r="D55" t="s">
        <v>73</v>
      </c>
      <c r="E55">
        <v>0</v>
      </c>
    </row>
    <row r="56" spans="1:5" x14ac:dyDescent="0.25">
      <c r="A56" t="s">
        <v>121</v>
      </c>
      <c r="B56">
        <f>COUNTIF(Sheet1!$F$2:$AF$21,allcase!A56)</f>
        <v>0</v>
      </c>
      <c r="D56" t="s">
        <v>74</v>
      </c>
      <c r="E56">
        <v>0</v>
      </c>
    </row>
    <row r="57" spans="1:5" x14ac:dyDescent="0.25">
      <c r="A57" t="s">
        <v>122</v>
      </c>
      <c r="B57">
        <f>COUNTIF(Sheet1!$F$2:$AF$21,allcase!A57)</f>
        <v>0</v>
      </c>
      <c r="D57" t="s">
        <v>75</v>
      </c>
      <c r="E57">
        <v>0</v>
      </c>
    </row>
    <row r="58" spans="1:5" x14ac:dyDescent="0.25">
      <c r="A58" t="s">
        <v>123</v>
      </c>
      <c r="B58">
        <f>COUNTIF(Sheet1!$F$2:$AF$21,allcase!A58)</f>
        <v>0</v>
      </c>
      <c r="D58" t="s">
        <v>76</v>
      </c>
      <c r="E58">
        <v>0</v>
      </c>
    </row>
    <row r="59" spans="1:5" x14ac:dyDescent="0.25">
      <c r="A59" t="s">
        <v>124</v>
      </c>
      <c r="B59">
        <f>COUNTIF(Sheet1!$F$2:$AF$21,allcase!A59)</f>
        <v>0</v>
      </c>
      <c r="D59" t="s">
        <v>77</v>
      </c>
      <c r="E59">
        <v>0</v>
      </c>
    </row>
    <row r="60" spans="1:5" x14ac:dyDescent="0.25">
      <c r="A60" t="s">
        <v>125</v>
      </c>
      <c r="B60">
        <f>COUNTIF(Sheet1!$F$2:$AF$21,allcase!A60)</f>
        <v>0</v>
      </c>
      <c r="D60" t="s">
        <v>78</v>
      </c>
      <c r="E60">
        <v>0</v>
      </c>
    </row>
    <row r="61" spans="1:5" x14ac:dyDescent="0.25">
      <c r="A61" t="s">
        <v>126</v>
      </c>
      <c r="B61">
        <f>COUNTIF(Sheet1!$F$2:$AF$21,allcase!A61)</f>
        <v>0</v>
      </c>
      <c r="D61" t="s">
        <v>79</v>
      </c>
      <c r="E61">
        <v>0</v>
      </c>
    </row>
    <row r="62" spans="1:5" x14ac:dyDescent="0.25">
      <c r="A62" t="s">
        <v>127</v>
      </c>
      <c r="B62">
        <f>COUNTIF(Sheet1!$F$2:$AF$21,allcase!A62)</f>
        <v>0</v>
      </c>
      <c r="D62" t="s">
        <v>80</v>
      </c>
      <c r="E62">
        <v>0</v>
      </c>
    </row>
    <row r="63" spans="1:5" x14ac:dyDescent="0.25">
      <c r="A63" t="s">
        <v>128</v>
      </c>
      <c r="B63">
        <f>COUNTIF(Sheet1!$F$2:$AF$21,allcase!A63)</f>
        <v>0</v>
      </c>
      <c r="D63" t="s">
        <v>81</v>
      </c>
      <c r="E63">
        <v>0</v>
      </c>
    </row>
    <row r="64" spans="1:5" x14ac:dyDescent="0.25">
      <c r="A64" t="s">
        <v>129</v>
      </c>
      <c r="B64">
        <f>COUNTIF(Sheet1!$F$2:$AF$21,allcase!A64)</f>
        <v>0</v>
      </c>
      <c r="D64" t="s">
        <v>82</v>
      </c>
      <c r="E64">
        <v>0</v>
      </c>
    </row>
    <row r="65" spans="1:5" x14ac:dyDescent="0.25">
      <c r="A65" t="s">
        <v>130</v>
      </c>
      <c r="B65">
        <f>COUNTIF(Sheet1!$F$2:$AF$21,allcase!A65)</f>
        <v>0</v>
      </c>
      <c r="D65" t="s">
        <v>83</v>
      </c>
      <c r="E65">
        <v>0</v>
      </c>
    </row>
    <row r="66" spans="1:5" x14ac:dyDescent="0.25">
      <c r="A66" t="s">
        <v>131</v>
      </c>
      <c r="B66">
        <f>COUNTIF(Sheet1!$F$2:$AF$21,allcase!A66)</f>
        <v>0</v>
      </c>
      <c r="D66" t="s">
        <v>84</v>
      </c>
      <c r="E66">
        <v>0</v>
      </c>
    </row>
    <row r="67" spans="1:5" x14ac:dyDescent="0.25">
      <c r="A67" t="s">
        <v>132</v>
      </c>
      <c r="B67">
        <f>COUNTIF(Sheet1!$F$2:$AF$21,allcase!A67)</f>
        <v>0</v>
      </c>
      <c r="D67" t="s">
        <v>85</v>
      </c>
      <c r="E67">
        <v>0</v>
      </c>
    </row>
    <row r="68" spans="1:5" x14ac:dyDescent="0.25">
      <c r="A68" t="s">
        <v>133</v>
      </c>
      <c r="B68">
        <f>COUNTIF(Sheet1!$F$2:$AF$21,allcase!A68)</f>
        <v>0</v>
      </c>
      <c r="D68" t="s">
        <v>86</v>
      </c>
      <c r="E68">
        <v>0</v>
      </c>
    </row>
    <row r="69" spans="1:5" x14ac:dyDescent="0.25">
      <c r="A69" t="s">
        <v>134</v>
      </c>
      <c r="B69">
        <f>COUNTIF(Sheet1!$F$2:$AF$21,allcase!A69)</f>
        <v>0</v>
      </c>
      <c r="D69" t="s">
        <v>87</v>
      </c>
      <c r="E69">
        <v>0</v>
      </c>
    </row>
    <row r="70" spans="1:5" x14ac:dyDescent="0.25">
      <c r="A70" t="s">
        <v>135</v>
      </c>
      <c r="B70">
        <f>COUNTIF(Sheet1!$F$2:$AF$21,allcase!A70)</f>
        <v>0</v>
      </c>
      <c r="D70" t="s">
        <v>88</v>
      </c>
      <c r="E70">
        <v>0</v>
      </c>
    </row>
    <row r="71" spans="1:5" x14ac:dyDescent="0.25">
      <c r="A71" t="s">
        <v>136</v>
      </c>
      <c r="B71">
        <f>COUNTIF(Sheet1!$F$2:$AF$21,allcase!A71)</f>
        <v>0</v>
      </c>
      <c r="D71" t="s">
        <v>89</v>
      </c>
      <c r="E71">
        <v>0</v>
      </c>
    </row>
    <row r="72" spans="1:5" x14ac:dyDescent="0.25">
      <c r="A72" t="s">
        <v>137</v>
      </c>
      <c r="B72">
        <f>COUNTIF(Sheet1!$F$2:$AF$21,allcase!A72)</f>
        <v>0</v>
      </c>
      <c r="D72" t="s">
        <v>90</v>
      </c>
      <c r="E72">
        <v>0</v>
      </c>
    </row>
    <row r="73" spans="1:5" x14ac:dyDescent="0.25">
      <c r="A73" t="s">
        <v>138</v>
      </c>
      <c r="B73">
        <f>COUNTIF(Sheet1!$F$2:$AF$21,allcase!A73)</f>
        <v>7</v>
      </c>
      <c r="D73" t="s">
        <v>91</v>
      </c>
      <c r="E73">
        <v>0</v>
      </c>
    </row>
    <row r="74" spans="1:5" x14ac:dyDescent="0.25">
      <c r="A74" t="s">
        <v>139</v>
      </c>
      <c r="B74">
        <f>COUNTIF(Sheet1!$F$2:$AF$21,allcase!A74)</f>
        <v>0</v>
      </c>
      <c r="D74" t="s">
        <v>92</v>
      </c>
      <c r="E74">
        <v>0</v>
      </c>
    </row>
    <row r="75" spans="1:5" x14ac:dyDescent="0.25">
      <c r="A75" t="s">
        <v>140</v>
      </c>
      <c r="B75">
        <f>COUNTIF(Sheet1!$F$2:$AF$21,allcase!A75)</f>
        <v>5</v>
      </c>
      <c r="D75" t="s">
        <v>93</v>
      </c>
      <c r="E75">
        <v>0</v>
      </c>
    </row>
    <row r="76" spans="1:5" x14ac:dyDescent="0.25">
      <c r="A76" t="s">
        <v>141</v>
      </c>
      <c r="B76">
        <f>COUNTIF(Sheet1!$F$2:$AF$21,allcase!A76)</f>
        <v>0</v>
      </c>
      <c r="D76" t="s">
        <v>94</v>
      </c>
      <c r="E76">
        <v>0</v>
      </c>
    </row>
    <row r="77" spans="1:5" x14ac:dyDescent="0.25">
      <c r="A77" t="s">
        <v>142</v>
      </c>
      <c r="B77">
        <f>COUNTIF(Sheet1!$F$2:$AF$21,allcase!A77)</f>
        <v>0</v>
      </c>
      <c r="D77" t="s">
        <v>95</v>
      </c>
      <c r="E77">
        <v>0</v>
      </c>
    </row>
    <row r="78" spans="1:5" x14ac:dyDescent="0.25">
      <c r="A78" t="s">
        <v>143</v>
      </c>
      <c r="B78">
        <f>COUNTIF(Sheet1!$F$2:$AF$21,allcase!A78)</f>
        <v>10</v>
      </c>
      <c r="D78" t="s">
        <v>96</v>
      </c>
      <c r="E78">
        <v>0</v>
      </c>
    </row>
    <row r="79" spans="1:5" x14ac:dyDescent="0.25">
      <c r="A79" t="s">
        <v>144</v>
      </c>
      <c r="B79">
        <f>COUNTIF(Sheet1!$F$2:$AF$21,allcase!A79)</f>
        <v>0</v>
      </c>
      <c r="D79" t="s">
        <v>97</v>
      </c>
      <c r="E79">
        <v>0</v>
      </c>
    </row>
    <row r="80" spans="1:5" x14ac:dyDescent="0.25">
      <c r="A80" t="s">
        <v>145</v>
      </c>
      <c r="B80">
        <f>COUNTIF(Sheet1!$F$2:$AF$21,allcase!A80)</f>
        <v>0</v>
      </c>
      <c r="D80" t="s">
        <v>98</v>
      </c>
      <c r="E80">
        <v>0</v>
      </c>
    </row>
    <row r="81" spans="1:5" x14ac:dyDescent="0.25">
      <c r="A81" t="s">
        <v>146</v>
      </c>
      <c r="B81">
        <f>COUNTIF(Sheet1!$F$2:$AF$21,allcase!A81)</f>
        <v>0</v>
      </c>
      <c r="D81" t="s">
        <v>99</v>
      </c>
      <c r="E81">
        <v>0</v>
      </c>
    </row>
    <row r="82" spans="1:5" x14ac:dyDescent="0.25">
      <c r="A82" t="s">
        <v>147</v>
      </c>
      <c r="B82">
        <f>COUNTIF(Sheet1!$F$2:$AF$21,allcase!A82)</f>
        <v>0</v>
      </c>
      <c r="D82" t="s">
        <v>100</v>
      </c>
      <c r="E82">
        <v>0</v>
      </c>
    </row>
    <row r="83" spans="1:5" x14ac:dyDescent="0.25">
      <c r="A83" t="s">
        <v>148</v>
      </c>
      <c r="B83">
        <f>COUNTIF(Sheet1!$F$2:$AF$21,allcase!A83)</f>
        <v>0</v>
      </c>
      <c r="D83" t="s">
        <v>101</v>
      </c>
      <c r="E83">
        <v>0</v>
      </c>
    </row>
    <row r="84" spans="1:5" x14ac:dyDescent="0.25">
      <c r="A84" t="s">
        <v>149</v>
      </c>
      <c r="B84">
        <f>COUNTIF(Sheet1!$F$2:$AF$21,allcase!A84)</f>
        <v>10</v>
      </c>
      <c r="D84" t="s">
        <v>102</v>
      </c>
      <c r="E84">
        <v>0</v>
      </c>
    </row>
    <row r="85" spans="1:5" x14ac:dyDescent="0.25">
      <c r="A85" t="s">
        <v>150</v>
      </c>
      <c r="B85">
        <f>COUNTIF(Sheet1!$F$2:$AF$21,allcase!A85)</f>
        <v>1</v>
      </c>
      <c r="D85" t="s">
        <v>103</v>
      </c>
      <c r="E85">
        <v>0</v>
      </c>
    </row>
    <row r="86" spans="1:5" x14ac:dyDescent="0.25">
      <c r="A86" t="s">
        <v>151</v>
      </c>
      <c r="B86">
        <f>COUNTIF(Sheet1!$F$2:$AF$21,allcase!A86)</f>
        <v>0</v>
      </c>
      <c r="D86" t="s">
        <v>104</v>
      </c>
      <c r="E86">
        <v>0</v>
      </c>
    </row>
    <row r="87" spans="1:5" x14ac:dyDescent="0.25">
      <c r="A87" t="s">
        <v>152</v>
      </c>
      <c r="B87">
        <f>COUNTIF(Sheet1!$F$2:$AF$21,allcase!A87)</f>
        <v>3</v>
      </c>
      <c r="D87" t="s">
        <v>105</v>
      </c>
      <c r="E87">
        <v>0</v>
      </c>
    </row>
    <row r="88" spans="1:5" x14ac:dyDescent="0.25">
      <c r="A88" t="s">
        <v>153</v>
      </c>
      <c r="B88">
        <f>COUNTIF(Sheet1!$F$2:$AF$21,allcase!A88)</f>
        <v>0</v>
      </c>
      <c r="D88" t="s">
        <v>106</v>
      </c>
      <c r="E88">
        <v>0</v>
      </c>
    </row>
    <row r="89" spans="1:5" x14ac:dyDescent="0.25">
      <c r="A89" t="s">
        <v>154</v>
      </c>
      <c r="B89">
        <f>COUNTIF(Sheet1!$F$2:$AF$21,allcase!A89)</f>
        <v>0</v>
      </c>
      <c r="D89" t="s">
        <v>107</v>
      </c>
      <c r="E89">
        <v>0</v>
      </c>
    </row>
    <row r="90" spans="1:5" x14ac:dyDescent="0.25">
      <c r="A90" t="s">
        <v>155</v>
      </c>
      <c r="B90">
        <f>COUNTIF(Sheet1!$F$2:$AF$21,allcase!A90)</f>
        <v>10</v>
      </c>
      <c r="D90" t="s">
        <v>108</v>
      </c>
      <c r="E90">
        <v>0</v>
      </c>
    </row>
    <row r="91" spans="1:5" x14ac:dyDescent="0.25">
      <c r="A91" t="s">
        <v>156</v>
      </c>
      <c r="B91">
        <f>COUNTIF(Sheet1!$F$2:$AF$21,allcase!A91)</f>
        <v>10</v>
      </c>
      <c r="D91" t="s">
        <v>109</v>
      </c>
      <c r="E91">
        <v>0</v>
      </c>
    </row>
    <row r="92" spans="1:5" x14ac:dyDescent="0.25">
      <c r="A92" t="s">
        <v>157</v>
      </c>
      <c r="B92">
        <f>COUNTIF(Sheet1!$F$2:$AF$21,allcase!A92)</f>
        <v>0</v>
      </c>
      <c r="D92" t="s">
        <v>110</v>
      </c>
      <c r="E92">
        <v>0</v>
      </c>
    </row>
    <row r="93" spans="1:5" x14ac:dyDescent="0.25">
      <c r="A93" t="s">
        <v>158</v>
      </c>
      <c r="B93">
        <f>COUNTIF(Sheet1!$F$2:$AF$21,allcase!A93)</f>
        <v>10</v>
      </c>
      <c r="D93" t="s">
        <v>111</v>
      </c>
      <c r="E93">
        <v>0</v>
      </c>
    </row>
    <row r="94" spans="1:5" x14ac:dyDescent="0.25">
      <c r="A94" t="s">
        <v>159</v>
      </c>
      <c r="B94">
        <f>COUNTIF(Sheet1!$F$2:$AF$21,allcase!A94)</f>
        <v>0</v>
      </c>
      <c r="D94" t="s">
        <v>112</v>
      </c>
      <c r="E94">
        <v>0</v>
      </c>
    </row>
    <row r="95" spans="1:5" x14ac:dyDescent="0.25">
      <c r="A95" t="s">
        <v>160</v>
      </c>
      <c r="B95">
        <f>COUNTIF(Sheet1!$F$2:$AF$21,allcase!A95)</f>
        <v>7</v>
      </c>
      <c r="D95" t="s">
        <v>114</v>
      </c>
      <c r="E95">
        <v>0</v>
      </c>
    </row>
    <row r="96" spans="1:5" x14ac:dyDescent="0.25">
      <c r="A96" t="s">
        <v>161</v>
      </c>
      <c r="B96">
        <f>COUNTIF(Sheet1!$F$2:$AF$21,allcase!A96)</f>
        <v>10</v>
      </c>
      <c r="D96" t="s">
        <v>115</v>
      </c>
      <c r="E96">
        <v>0</v>
      </c>
    </row>
    <row r="97" spans="1:5" x14ac:dyDescent="0.25">
      <c r="A97" t="s">
        <v>162</v>
      </c>
      <c r="B97">
        <f>COUNTIF(Sheet1!$F$2:$AF$21,allcase!A97)</f>
        <v>0</v>
      </c>
      <c r="D97" t="s">
        <v>116</v>
      </c>
      <c r="E97">
        <v>0</v>
      </c>
    </row>
    <row r="98" spans="1:5" x14ac:dyDescent="0.25">
      <c r="A98" t="s">
        <v>163</v>
      </c>
      <c r="B98">
        <f>COUNTIF(Sheet1!$F$2:$AF$21,allcase!A98)</f>
        <v>0</v>
      </c>
      <c r="D98" t="s">
        <v>117</v>
      </c>
      <c r="E98">
        <v>0</v>
      </c>
    </row>
    <row r="99" spans="1:5" x14ac:dyDescent="0.25">
      <c r="A99" t="s">
        <v>164</v>
      </c>
      <c r="B99">
        <f>COUNTIF(Sheet1!$F$2:$AF$21,allcase!A99)</f>
        <v>0</v>
      </c>
      <c r="D99" t="s">
        <v>118</v>
      </c>
      <c r="E99">
        <v>0</v>
      </c>
    </row>
    <row r="100" spans="1:5" x14ac:dyDescent="0.25">
      <c r="A100" t="s">
        <v>165</v>
      </c>
      <c r="B100">
        <f>COUNTIF(Sheet1!$F$2:$AF$21,allcase!A100)</f>
        <v>0</v>
      </c>
      <c r="D100" t="s">
        <v>119</v>
      </c>
      <c r="E100">
        <v>0</v>
      </c>
    </row>
    <row r="101" spans="1:5" x14ac:dyDescent="0.25">
      <c r="A101" t="s">
        <v>166</v>
      </c>
      <c r="B101">
        <f>COUNTIF(Sheet1!$F$2:$AF$21,allcase!A101)</f>
        <v>1</v>
      </c>
      <c r="D101" t="s">
        <v>120</v>
      </c>
      <c r="E101">
        <v>0</v>
      </c>
    </row>
    <row r="102" spans="1:5" x14ac:dyDescent="0.25">
      <c r="A102" t="s">
        <v>167</v>
      </c>
      <c r="B102">
        <f>COUNTIF(Sheet1!$F$2:$AF$21,allcase!A102)</f>
        <v>1</v>
      </c>
      <c r="D102" t="s">
        <v>121</v>
      </c>
      <c r="E102">
        <v>0</v>
      </c>
    </row>
    <row r="103" spans="1:5" x14ac:dyDescent="0.25">
      <c r="A103" t="s">
        <v>168</v>
      </c>
      <c r="B103">
        <f>COUNTIF(Sheet1!$F$2:$AF$21,allcase!A103)</f>
        <v>5</v>
      </c>
      <c r="D103" t="s">
        <v>122</v>
      </c>
      <c r="E103">
        <v>0</v>
      </c>
    </row>
    <row r="104" spans="1:5" x14ac:dyDescent="0.25">
      <c r="A104" t="s">
        <v>169</v>
      </c>
      <c r="B104">
        <f>COUNTIF(Sheet1!$F$2:$AF$21,allcase!A104)</f>
        <v>0</v>
      </c>
      <c r="D104" t="s">
        <v>123</v>
      </c>
      <c r="E104">
        <v>0</v>
      </c>
    </row>
    <row r="105" spans="1:5" x14ac:dyDescent="0.25">
      <c r="A105" t="s">
        <v>170</v>
      </c>
      <c r="B105">
        <f>COUNTIF(Sheet1!$F$2:$AF$21,allcase!A105)</f>
        <v>0</v>
      </c>
      <c r="D105" t="s">
        <v>124</v>
      </c>
      <c r="E105">
        <v>0</v>
      </c>
    </row>
    <row r="106" spans="1:5" x14ac:dyDescent="0.25">
      <c r="A106" t="s">
        <v>171</v>
      </c>
      <c r="B106">
        <f>COUNTIF(Sheet1!$F$2:$AF$21,allcase!A106)</f>
        <v>0</v>
      </c>
      <c r="D106" t="s">
        <v>125</v>
      </c>
      <c r="E106">
        <v>0</v>
      </c>
    </row>
    <row r="107" spans="1:5" x14ac:dyDescent="0.25">
      <c r="A107" t="s">
        <v>172</v>
      </c>
      <c r="B107">
        <f>COUNTIF(Sheet1!$F$2:$AF$21,allcase!A107)</f>
        <v>7</v>
      </c>
      <c r="D107" t="s">
        <v>126</v>
      </c>
      <c r="E107">
        <v>0</v>
      </c>
    </row>
    <row r="108" spans="1:5" x14ac:dyDescent="0.25">
      <c r="A108" t="s">
        <v>173</v>
      </c>
      <c r="B108">
        <f>COUNTIF(Sheet1!$F$2:$AF$21,allcase!A108)</f>
        <v>10</v>
      </c>
      <c r="D108" t="s">
        <v>127</v>
      </c>
      <c r="E108">
        <v>0</v>
      </c>
    </row>
    <row r="109" spans="1:5" x14ac:dyDescent="0.25">
      <c r="A109" t="s">
        <v>174</v>
      </c>
      <c r="B109">
        <f>COUNTIF(Sheet1!$F$2:$AF$21,allcase!A109)</f>
        <v>0</v>
      </c>
      <c r="D109" t="s">
        <v>128</v>
      </c>
      <c r="E109">
        <v>0</v>
      </c>
    </row>
    <row r="110" spans="1:5" x14ac:dyDescent="0.25">
      <c r="A110" t="s">
        <v>175</v>
      </c>
      <c r="B110">
        <f>COUNTIF(Sheet1!$F$2:$AF$21,allcase!A110)</f>
        <v>0</v>
      </c>
      <c r="D110" t="s">
        <v>129</v>
      </c>
      <c r="E110">
        <v>0</v>
      </c>
    </row>
    <row r="111" spans="1:5" x14ac:dyDescent="0.25">
      <c r="A111" t="s">
        <v>176</v>
      </c>
      <c r="B111">
        <f>COUNTIF(Sheet1!$F$2:$AF$21,allcase!A111)</f>
        <v>2</v>
      </c>
      <c r="D111" t="s">
        <v>130</v>
      </c>
      <c r="E111">
        <v>0</v>
      </c>
    </row>
    <row r="112" spans="1:5" x14ac:dyDescent="0.25">
      <c r="A112" t="s">
        <v>177</v>
      </c>
      <c r="B112">
        <f>COUNTIF(Sheet1!$F$2:$AF$21,allcase!A112)</f>
        <v>0</v>
      </c>
      <c r="D112" t="s">
        <v>131</v>
      </c>
      <c r="E112">
        <v>0</v>
      </c>
    </row>
    <row r="113" spans="1:5" x14ac:dyDescent="0.25">
      <c r="A113" t="s">
        <v>178</v>
      </c>
      <c r="B113">
        <f>COUNTIF(Sheet1!$F$2:$AF$21,allcase!A113)</f>
        <v>6</v>
      </c>
      <c r="D113" t="s">
        <v>132</v>
      </c>
      <c r="E113">
        <v>0</v>
      </c>
    </row>
    <row r="114" spans="1:5" x14ac:dyDescent="0.25">
      <c r="A114" t="s">
        <v>179</v>
      </c>
      <c r="B114">
        <f>COUNTIF(Sheet1!$F$2:$AF$21,allcase!A114)</f>
        <v>7</v>
      </c>
      <c r="D114" t="s">
        <v>133</v>
      </c>
      <c r="E114">
        <v>0</v>
      </c>
    </row>
    <row r="115" spans="1:5" x14ac:dyDescent="0.25">
      <c r="A115" t="s">
        <v>180</v>
      </c>
      <c r="B115">
        <f>COUNTIF(Sheet1!$F$2:$AF$21,allcase!A115)</f>
        <v>3</v>
      </c>
      <c r="D115" t="s">
        <v>134</v>
      </c>
      <c r="E115">
        <v>0</v>
      </c>
    </row>
    <row r="116" spans="1:5" x14ac:dyDescent="0.25">
      <c r="A116" t="s">
        <v>181</v>
      </c>
      <c r="B116">
        <f>COUNTIF(Sheet1!$F$2:$AF$21,allcase!A116)</f>
        <v>0</v>
      </c>
      <c r="D116" t="s">
        <v>135</v>
      </c>
      <c r="E116">
        <v>0</v>
      </c>
    </row>
    <row r="117" spans="1:5" x14ac:dyDescent="0.25">
      <c r="A117" t="s">
        <v>182</v>
      </c>
      <c r="B117">
        <f>COUNTIF(Sheet1!$F$2:$AF$21,allcase!A117)</f>
        <v>7</v>
      </c>
      <c r="D117" t="s">
        <v>136</v>
      </c>
      <c r="E117">
        <v>0</v>
      </c>
    </row>
    <row r="118" spans="1:5" x14ac:dyDescent="0.25">
      <c r="A118" t="s">
        <v>183</v>
      </c>
      <c r="B118">
        <f>COUNTIF(Sheet1!$F$2:$AF$21,allcase!A118)</f>
        <v>0</v>
      </c>
      <c r="D118" t="s">
        <v>137</v>
      </c>
      <c r="E118">
        <v>0</v>
      </c>
    </row>
    <row r="119" spans="1:5" x14ac:dyDescent="0.25">
      <c r="A119" t="s">
        <v>184</v>
      </c>
      <c r="B119">
        <f>COUNTIF(Sheet1!$F$2:$AF$21,allcase!A119)</f>
        <v>10</v>
      </c>
      <c r="D119" t="s">
        <v>139</v>
      </c>
      <c r="E119">
        <v>0</v>
      </c>
    </row>
    <row r="120" spans="1:5" x14ac:dyDescent="0.25">
      <c r="A120" t="s">
        <v>185</v>
      </c>
      <c r="B120">
        <f>COUNTIF(Sheet1!$F$2:$AF$21,allcase!A120)</f>
        <v>10</v>
      </c>
      <c r="D120" t="s">
        <v>141</v>
      </c>
      <c r="E120">
        <v>0</v>
      </c>
    </row>
    <row r="121" spans="1:5" x14ac:dyDescent="0.25">
      <c r="A121" t="s">
        <v>186</v>
      </c>
      <c r="B121">
        <f>COUNTIF(Sheet1!$F$2:$AF$21,allcase!A121)</f>
        <v>0</v>
      </c>
      <c r="D121" t="s">
        <v>142</v>
      </c>
      <c r="E121">
        <v>0</v>
      </c>
    </row>
    <row r="122" spans="1:5" x14ac:dyDescent="0.25">
      <c r="A122" t="s">
        <v>187</v>
      </c>
      <c r="B122">
        <f>COUNTIF(Sheet1!$F$2:$AF$21,allcase!A122)</f>
        <v>0</v>
      </c>
      <c r="D122" t="s">
        <v>144</v>
      </c>
      <c r="E122">
        <v>0</v>
      </c>
    </row>
    <row r="123" spans="1:5" x14ac:dyDescent="0.25">
      <c r="A123" t="s">
        <v>188</v>
      </c>
      <c r="B123">
        <f>COUNTIF(Sheet1!$F$2:$AF$21,allcase!A123)</f>
        <v>0</v>
      </c>
      <c r="D123" t="s">
        <v>145</v>
      </c>
      <c r="E123">
        <v>0</v>
      </c>
    </row>
    <row r="124" spans="1:5" x14ac:dyDescent="0.25">
      <c r="A124" t="s">
        <v>189</v>
      </c>
      <c r="B124">
        <f>COUNTIF(Sheet1!$F$2:$AF$21,allcase!A124)</f>
        <v>0</v>
      </c>
      <c r="D124" t="s">
        <v>146</v>
      </c>
      <c r="E124">
        <v>0</v>
      </c>
    </row>
    <row r="125" spans="1:5" x14ac:dyDescent="0.25">
      <c r="A125" t="s">
        <v>190</v>
      </c>
      <c r="B125">
        <f>COUNTIF(Sheet1!$F$2:$AF$21,allcase!A125)</f>
        <v>0</v>
      </c>
      <c r="D125" t="s">
        <v>147</v>
      </c>
      <c r="E125">
        <v>0</v>
      </c>
    </row>
    <row r="126" spans="1:5" x14ac:dyDescent="0.25">
      <c r="A126" t="s">
        <v>191</v>
      </c>
      <c r="B126">
        <f>COUNTIF(Sheet1!$F$2:$AF$21,allcase!A126)</f>
        <v>0</v>
      </c>
      <c r="D126" t="s">
        <v>148</v>
      </c>
      <c r="E126">
        <v>0</v>
      </c>
    </row>
    <row r="127" spans="1:5" x14ac:dyDescent="0.25">
      <c r="A127" t="s">
        <v>192</v>
      </c>
      <c r="B127">
        <f>COUNTIF(Sheet1!$F$2:$AF$21,allcase!A127)</f>
        <v>0</v>
      </c>
      <c r="D127" t="s">
        <v>151</v>
      </c>
      <c r="E127">
        <v>0</v>
      </c>
    </row>
    <row r="128" spans="1:5" x14ac:dyDescent="0.25">
      <c r="A128" t="s">
        <v>193</v>
      </c>
      <c r="B128">
        <f>COUNTIF(Sheet1!$F$2:$AF$21,allcase!A128)</f>
        <v>0</v>
      </c>
      <c r="D128" t="s">
        <v>153</v>
      </c>
      <c r="E128">
        <v>0</v>
      </c>
    </row>
    <row r="129" spans="1:5" x14ac:dyDescent="0.25">
      <c r="A129" t="s">
        <v>194</v>
      </c>
      <c r="B129">
        <f>COUNTIF(Sheet1!$F$2:$AF$21,allcase!A129)</f>
        <v>0</v>
      </c>
      <c r="D129" t="s">
        <v>154</v>
      </c>
      <c r="E129">
        <v>0</v>
      </c>
    </row>
    <row r="130" spans="1:5" x14ac:dyDescent="0.25">
      <c r="A130" t="s">
        <v>195</v>
      </c>
      <c r="B130">
        <f>COUNTIF(Sheet1!$F$2:$AF$21,allcase!A130)</f>
        <v>0</v>
      </c>
      <c r="D130" t="s">
        <v>157</v>
      </c>
      <c r="E130">
        <v>0</v>
      </c>
    </row>
    <row r="131" spans="1:5" x14ac:dyDescent="0.25">
      <c r="A131" t="s">
        <v>196</v>
      </c>
      <c r="B131">
        <f>COUNTIF(Sheet1!$F$2:$AF$21,allcase!A131)</f>
        <v>0</v>
      </c>
      <c r="D131" t="s">
        <v>159</v>
      </c>
      <c r="E131">
        <v>0</v>
      </c>
    </row>
    <row r="132" spans="1:5" x14ac:dyDescent="0.25">
      <c r="A132" t="s">
        <v>197</v>
      </c>
      <c r="B132">
        <f>COUNTIF(Sheet1!$F$2:$AF$21,allcase!A132)</f>
        <v>0</v>
      </c>
      <c r="D132" t="s">
        <v>162</v>
      </c>
      <c r="E132">
        <v>0</v>
      </c>
    </row>
    <row r="133" spans="1:5" x14ac:dyDescent="0.25">
      <c r="A133" t="s">
        <v>198</v>
      </c>
      <c r="B133">
        <f>COUNTIF(Sheet1!$F$2:$AF$21,allcase!A133)</f>
        <v>0</v>
      </c>
      <c r="D133" t="s">
        <v>163</v>
      </c>
      <c r="E133">
        <v>0</v>
      </c>
    </row>
    <row r="134" spans="1:5" x14ac:dyDescent="0.25">
      <c r="A134" t="s">
        <v>199</v>
      </c>
      <c r="B134">
        <f>COUNTIF(Sheet1!$F$2:$AF$21,allcase!A134)</f>
        <v>0</v>
      </c>
      <c r="D134" t="s">
        <v>164</v>
      </c>
      <c r="E134">
        <v>0</v>
      </c>
    </row>
    <row r="135" spans="1:5" x14ac:dyDescent="0.25">
      <c r="A135" t="s">
        <v>200</v>
      </c>
      <c r="B135">
        <f>COUNTIF(Sheet1!$F$2:$AF$21,allcase!A135)</f>
        <v>0</v>
      </c>
      <c r="D135" t="s">
        <v>165</v>
      </c>
      <c r="E135">
        <v>0</v>
      </c>
    </row>
    <row r="136" spans="1:5" x14ac:dyDescent="0.25">
      <c r="A136" t="s">
        <v>201</v>
      </c>
      <c r="B136">
        <f>COUNTIF(Sheet1!$F$2:$AF$21,allcase!A136)</f>
        <v>0</v>
      </c>
      <c r="D136" t="s">
        <v>169</v>
      </c>
      <c r="E136">
        <v>0</v>
      </c>
    </row>
    <row r="137" spans="1:5" x14ac:dyDescent="0.25">
      <c r="A137" t="s">
        <v>202</v>
      </c>
      <c r="B137">
        <f>COUNTIF(Sheet1!$F$2:$AF$21,allcase!A137)</f>
        <v>0</v>
      </c>
      <c r="D137" t="s">
        <v>170</v>
      </c>
      <c r="E137">
        <v>0</v>
      </c>
    </row>
    <row r="138" spans="1:5" x14ac:dyDescent="0.25">
      <c r="A138" t="s">
        <v>203</v>
      </c>
      <c r="B138">
        <f>COUNTIF(Sheet1!$F$2:$AF$21,allcase!A138)</f>
        <v>0</v>
      </c>
      <c r="D138" t="s">
        <v>171</v>
      </c>
      <c r="E138">
        <v>0</v>
      </c>
    </row>
    <row r="139" spans="1:5" x14ac:dyDescent="0.25">
      <c r="A139" t="s">
        <v>204</v>
      </c>
      <c r="B139">
        <f>COUNTIF(Sheet1!$F$2:$AF$21,allcase!A139)</f>
        <v>0</v>
      </c>
      <c r="D139" t="s">
        <v>174</v>
      </c>
      <c r="E139">
        <v>0</v>
      </c>
    </row>
    <row r="140" spans="1:5" x14ac:dyDescent="0.25">
      <c r="A140" t="s">
        <v>205</v>
      </c>
      <c r="B140">
        <f>COUNTIF(Sheet1!$F$2:$AF$21,allcase!A140)</f>
        <v>0</v>
      </c>
      <c r="D140" t="s">
        <v>175</v>
      </c>
      <c r="E140">
        <v>0</v>
      </c>
    </row>
    <row r="141" spans="1:5" x14ac:dyDescent="0.25">
      <c r="A141" t="s">
        <v>206</v>
      </c>
      <c r="B141">
        <f>COUNTIF(Sheet1!$F$2:$AF$21,allcase!A141)</f>
        <v>0</v>
      </c>
      <c r="D141" t="s">
        <v>177</v>
      </c>
      <c r="E141">
        <v>0</v>
      </c>
    </row>
    <row r="142" spans="1:5" x14ac:dyDescent="0.25">
      <c r="A142" t="s">
        <v>207</v>
      </c>
      <c r="B142">
        <f>COUNTIF(Sheet1!$F$2:$AF$21,allcase!A142)</f>
        <v>0</v>
      </c>
      <c r="D142" t="s">
        <v>181</v>
      </c>
      <c r="E142">
        <v>0</v>
      </c>
    </row>
    <row r="143" spans="1:5" x14ac:dyDescent="0.25">
      <c r="A143" t="s">
        <v>208</v>
      </c>
      <c r="B143">
        <f>COUNTIF(Sheet1!$F$2:$AF$21,allcase!A143)</f>
        <v>0</v>
      </c>
      <c r="D143" t="s">
        <v>183</v>
      </c>
      <c r="E143">
        <v>0</v>
      </c>
    </row>
    <row r="144" spans="1:5" x14ac:dyDescent="0.25">
      <c r="A144" t="s">
        <v>209</v>
      </c>
      <c r="B144">
        <f>COUNTIF(Sheet1!$F$2:$AF$21,allcase!A144)</f>
        <v>0</v>
      </c>
      <c r="D144" t="s">
        <v>186</v>
      </c>
      <c r="E144">
        <v>0</v>
      </c>
    </row>
    <row r="145" spans="1:5" x14ac:dyDescent="0.25">
      <c r="A145" t="s">
        <v>210</v>
      </c>
      <c r="B145">
        <f>COUNTIF(Sheet1!$F$2:$AF$21,allcase!A145)</f>
        <v>0</v>
      </c>
      <c r="D145" t="s">
        <v>187</v>
      </c>
      <c r="E145">
        <v>0</v>
      </c>
    </row>
    <row r="146" spans="1:5" x14ac:dyDescent="0.25">
      <c r="A146" t="s">
        <v>211</v>
      </c>
      <c r="B146">
        <f>COUNTIF(Sheet1!$F$2:$AF$21,allcase!A146)</f>
        <v>0</v>
      </c>
      <c r="D146" t="s">
        <v>188</v>
      </c>
      <c r="E146">
        <v>0</v>
      </c>
    </row>
    <row r="147" spans="1:5" x14ac:dyDescent="0.25">
      <c r="A147" t="s">
        <v>212</v>
      </c>
      <c r="B147">
        <f>COUNTIF(Sheet1!$F$2:$AF$21,allcase!A147)</f>
        <v>0</v>
      </c>
      <c r="D147" t="s">
        <v>189</v>
      </c>
      <c r="E147">
        <v>0</v>
      </c>
    </row>
    <row r="148" spans="1:5" x14ac:dyDescent="0.25">
      <c r="A148" t="s">
        <v>213</v>
      </c>
      <c r="B148">
        <f>COUNTIF(Sheet1!$F$2:$AF$21,allcase!A148)</f>
        <v>0</v>
      </c>
      <c r="D148" t="s">
        <v>190</v>
      </c>
      <c r="E148">
        <v>0</v>
      </c>
    </row>
    <row r="149" spans="1:5" x14ac:dyDescent="0.25">
      <c r="A149" t="s">
        <v>214</v>
      </c>
      <c r="B149">
        <f>COUNTIF(Sheet1!$F$2:$AF$21,allcase!A149)</f>
        <v>0</v>
      </c>
      <c r="D149" t="s">
        <v>191</v>
      </c>
      <c r="E149">
        <v>0</v>
      </c>
    </row>
    <row r="150" spans="1:5" x14ac:dyDescent="0.25">
      <c r="A150" t="s">
        <v>215</v>
      </c>
      <c r="B150">
        <f>COUNTIF(Sheet1!$F$2:$AF$21,allcase!A150)</f>
        <v>0</v>
      </c>
      <c r="D150" t="s">
        <v>192</v>
      </c>
      <c r="E150">
        <v>0</v>
      </c>
    </row>
    <row r="151" spans="1:5" x14ac:dyDescent="0.25">
      <c r="A151" t="s">
        <v>216</v>
      </c>
      <c r="B151">
        <f>COUNTIF(Sheet1!$F$2:$AF$21,allcase!A151)</f>
        <v>0</v>
      </c>
      <c r="D151" t="s">
        <v>193</v>
      </c>
      <c r="E151">
        <v>0</v>
      </c>
    </row>
    <row r="152" spans="1:5" x14ac:dyDescent="0.25">
      <c r="A152" t="s">
        <v>217</v>
      </c>
      <c r="B152">
        <f>COUNTIF(Sheet1!$F$2:$AF$21,allcase!A152)</f>
        <v>0</v>
      </c>
      <c r="D152" t="s">
        <v>194</v>
      </c>
      <c r="E152">
        <v>0</v>
      </c>
    </row>
    <row r="153" spans="1:5" x14ac:dyDescent="0.25">
      <c r="A153" t="s">
        <v>218</v>
      </c>
      <c r="B153">
        <f>COUNTIF(Sheet1!$F$2:$AF$21,allcase!A153)</f>
        <v>0</v>
      </c>
      <c r="D153" t="s">
        <v>195</v>
      </c>
      <c r="E153">
        <v>0</v>
      </c>
    </row>
    <row r="154" spans="1:5" x14ac:dyDescent="0.25">
      <c r="A154" t="s">
        <v>219</v>
      </c>
      <c r="B154">
        <f>COUNTIF(Sheet1!$F$2:$AF$21,allcase!A154)</f>
        <v>0</v>
      </c>
      <c r="D154" t="s">
        <v>196</v>
      </c>
      <c r="E154">
        <v>0</v>
      </c>
    </row>
    <row r="155" spans="1:5" x14ac:dyDescent="0.25">
      <c r="A155" t="s">
        <v>220</v>
      </c>
      <c r="B155">
        <f>COUNTIF(Sheet1!$F$2:$AF$21,allcase!A155)</f>
        <v>0</v>
      </c>
      <c r="D155" t="s">
        <v>197</v>
      </c>
      <c r="E155">
        <v>0</v>
      </c>
    </row>
    <row r="156" spans="1:5" x14ac:dyDescent="0.25">
      <c r="A156" t="s">
        <v>221</v>
      </c>
      <c r="B156">
        <f>COUNTIF(Sheet1!$F$2:$AF$21,allcase!A156)</f>
        <v>0</v>
      </c>
      <c r="D156" t="s">
        <v>198</v>
      </c>
      <c r="E156">
        <v>0</v>
      </c>
    </row>
    <row r="157" spans="1:5" x14ac:dyDescent="0.25">
      <c r="A157" t="s">
        <v>222</v>
      </c>
      <c r="B157">
        <f>COUNTIF(Sheet1!$F$2:$AF$21,allcase!A157)</f>
        <v>0</v>
      </c>
      <c r="D157" t="s">
        <v>199</v>
      </c>
      <c r="E157">
        <v>0</v>
      </c>
    </row>
    <row r="158" spans="1:5" x14ac:dyDescent="0.25">
      <c r="A158" t="s">
        <v>223</v>
      </c>
      <c r="B158">
        <f>COUNTIF(Sheet1!$F$2:$AF$21,allcase!A158)</f>
        <v>8</v>
      </c>
      <c r="D158" t="s">
        <v>200</v>
      </c>
      <c r="E158">
        <v>0</v>
      </c>
    </row>
    <row r="159" spans="1:5" x14ac:dyDescent="0.25">
      <c r="A159" t="s">
        <v>224</v>
      </c>
      <c r="B159">
        <f>COUNTIF(Sheet1!$F$2:$AF$21,allcase!A159)</f>
        <v>0</v>
      </c>
      <c r="D159" t="s">
        <v>201</v>
      </c>
      <c r="E159">
        <v>0</v>
      </c>
    </row>
    <row r="160" spans="1:5" x14ac:dyDescent="0.25">
      <c r="A160" t="s">
        <v>225</v>
      </c>
      <c r="B160">
        <f>COUNTIF(Sheet1!$F$2:$AF$21,allcase!A160)</f>
        <v>0</v>
      </c>
      <c r="D160" t="s">
        <v>202</v>
      </c>
      <c r="E160">
        <v>0</v>
      </c>
    </row>
    <row r="161" spans="1:5" x14ac:dyDescent="0.25">
      <c r="A161" t="s">
        <v>226</v>
      </c>
      <c r="B161">
        <f>COUNTIF(Sheet1!$F$2:$AF$21,allcase!A161)</f>
        <v>9</v>
      </c>
      <c r="D161" t="s">
        <v>203</v>
      </c>
      <c r="E161">
        <v>0</v>
      </c>
    </row>
    <row r="162" spans="1:5" x14ac:dyDescent="0.25">
      <c r="A162" t="s">
        <v>227</v>
      </c>
      <c r="B162">
        <f>COUNTIF(Sheet1!$F$2:$AF$21,allcase!A162)</f>
        <v>0</v>
      </c>
      <c r="D162" t="s">
        <v>204</v>
      </c>
      <c r="E162">
        <v>0</v>
      </c>
    </row>
    <row r="163" spans="1:5" x14ac:dyDescent="0.25">
      <c r="A163" t="s">
        <v>228</v>
      </c>
      <c r="B163">
        <f>COUNTIF(Sheet1!$F$2:$AF$21,allcase!A163)</f>
        <v>0</v>
      </c>
      <c r="D163" t="s">
        <v>205</v>
      </c>
      <c r="E163">
        <v>0</v>
      </c>
    </row>
    <row r="164" spans="1:5" x14ac:dyDescent="0.25">
      <c r="A164" t="s">
        <v>229</v>
      </c>
      <c r="B164">
        <f>COUNTIF(Sheet1!$F$2:$AF$21,allcase!A164)</f>
        <v>10</v>
      </c>
      <c r="D164" t="s">
        <v>206</v>
      </c>
      <c r="E164">
        <v>0</v>
      </c>
    </row>
    <row r="165" spans="1:5" x14ac:dyDescent="0.25">
      <c r="A165" t="s">
        <v>230</v>
      </c>
      <c r="B165">
        <f>COUNTIF(Sheet1!$F$2:$AF$21,allcase!A165)</f>
        <v>0</v>
      </c>
      <c r="D165" t="s">
        <v>207</v>
      </c>
      <c r="E165">
        <v>0</v>
      </c>
    </row>
    <row r="166" spans="1:5" x14ac:dyDescent="0.25">
      <c r="A166" t="s">
        <v>231</v>
      </c>
      <c r="B166">
        <f>COUNTIF(Sheet1!$F$2:$AF$21,allcase!A166)</f>
        <v>0</v>
      </c>
      <c r="D166" t="s">
        <v>208</v>
      </c>
      <c r="E166">
        <v>0</v>
      </c>
    </row>
    <row r="167" spans="1:5" x14ac:dyDescent="0.25">
      <c r="A167" t="s">
        <v>232</v>
      </c>
      <c r="B167">
        <f>COUNTIF(Sheet1!$F$2:$AF$21,allcase!A167)</f>
        <v>7</v>
      </c>
      <c r="D167" t="s">
        <v>209</v>
      </c>
      <c r="E167">
        <v>0</v>
      </c>
    </row>
    <row r="168" spans="1:5" x14ac:dyDescent="0.25">
      <c r="A168" t="s">
        <v>233</v>
      </c>
      <c r="B168">
        <f>COUNTIF(Sheet1!$F$2:$AF$21,allcase!A168)</f>
        <v>0</v>
      </c>
      <c r="D168" t="s">
        <v>210</v>
      </c>
      <c r="E168">
        <v>0</v>
      </c>
    </row>
    <row r="169" spans="1:5" x14ac:dyDescent="0.25">
      <c r="A169" t="s">
        <v>234</v>
      </c>
      <c r="B169">
        <f>COUNTIF(Sheet1!$F$2:$AF$21,allcase!A169)</f>
        <v>0</v>
      </c>
      <c r="D169" t="s">
        <v>211</v>
      </c>
      <c r="E169">
        <v>0</v>
      </c>
    </row>
    <row r="170" spans="1:5" x14ac:dyDescent="0.25">
      <c r="A170" t="s">
        <v>235</v>
      </c>
      <c r="B170">
        <f>COUNTIF(Sheet1!$F$2:$AF$21,allcase!A170)</f>
        <v>0</v>
      </c>
      <c r="D170" t="s">
        <v>212</v>
      </c>
      <c r="E170">
        <v>0</v>
      </c>
    </row>
    <row r="171" spans="1:5" x14ac:dyDescent="0.25">
      <c r="A171" t="s">
        <v>236</v>
      </c>
      <c r="B171">
        <f>COUNTIF(Sheet1!$F$2:$AF$21,allcase!A171)</f>
        <v>0</v>
      </c>
      <c r="D171" t="s">
        <v>213</v>
      </c>
      <c r="E171">
        <v>0</v>
      </c>
    </row>
    <row r="172" spans="1:5" x14ac:dyDescent="0.25">
      <c r="A172" t="s">
        <v>237</v>
      </c>
      <c r="B172">
        <f>COUNTIF(Sheet1!$F$2:$AF$21,allcase!A172)</f>
        <v>0</v>
      </c>
      <c r="D172" t="s">
        <v>214</v>
      </c>
      <c r="E172">
        <v>0</v>
      </c>
    </row>
    <row r="173" spans="1:5" x14ac:dyDescent="0.25">
      <c r="A173" t="s">
        <v>238</v>
      </c>
      <c r="B173">
        <f>COUNTIF(Sheet1!$F$2:$AF$21,allcase!A173)</f>
        <v>10</v>
      </c>
      <c r="D173" t="s">
        <v>215</v>
      </c>
      <c r="E173">
        <v>0</v>
      </c>
    </row>
    <row r="174" spans="1:5" x14ac:dyDescent="0.25">
      <c r="A174" t="s">
        <v>239</v>
      </c>
      <c r="B174">
        <f>COUNTIF(Sheet1!$F$2:$AF$21,allcase!A174)</f>
        <v>0</v>
      </c>
      <c r="D174" t="s">
        <v>216</v>
      </c>
      <c r="E174">
        <v>0</v>
      </c>
    </row>
    <row r="175" spans="1:5" x14ac:dyDescent="0.25">
      <c r="A175" t="s">
        <v>240</v>
      </c>
      <c r="B175">
        <f>COUNTIF(Sheet1!$F$2:$AF$21,allcase!A175)</f>
        <v>0</v>
      </c>
      <c r="D175" t="s">
        <v>217</v>
      </c>
      <c r="E175">
        <v>0</v>
      </c>
    </row>
    <row r="176" spans="1:5" x14ac:dyDescent="0.25">
      <c r="A176" t="s">
        <v>241</v>
      </c>
      <c r="B176">
        <f>COUNTIF(Sheet1!$F$2:$AF$21,allcase!A176)</f>
        <v>7</v>
      </c>
      <c r="D176" t="s">
        <v>218</v>
      </c>
      <c r="E176">
        <v>0</v>
      </c>
    </row>
    <row r="177" spans="1:5" x14ac:dyDescent="0.25">
      <c r="A177" t="s">
        <v>242</v>
      </c>
      <c r="B177">
        <f>COUNTIF(Sheet1!$F$2:$AF$21,allcase!A177)</f>
        <v>0</v>
      </c>
      <c r="D177" t="s">
        <v>219</v>
      </c>
      <c r="E177">
        <v>0</v>
      </c>
    </row>
    <row r="178" spans="1:5" x14ac:dyDescent="0.25">
      <c r="A178" t="s">
        <v>243</v>
      </c>
      <c r="B178">
        <f>COUNTIF(Sheet1!$F$2:$AF$21,allcase!A178)</f>
        <v>0</v>
      </c>
      <c r="D178" t="s">
        <v>220</v>
      </c>
      <c r="E178">
        <v>0</v>
      </c>
    </row>
    <row r="179" spans="1:5" x14ac:dyDescent="0.25">
      <c r="A179" t="s">
        <v>244</v>
      </c>
      <c r="B179">
        <f>COUNTIF(Sheet1!$F$2:$AF$21,allcase!A179)</f>
        <v>10</v>
      </c>
      <c r="D179" t="s">
        <v>221</v>
      </c>
      <c r="E179">
        <v>0</v>
      </c>
    </row>
    <row r="180" spans="1:5" x14ac:dyDescent="0.25">
      <c r="A180" t="s">
        <v>245</v>
      </c>
      <c r="B180">
        <f>COUNTIF(Sheet1!$F$2:$AF$21,allcase!A180)</f>
        <v>0</v>
      </c>
      <c r="D180" t="s">
        <v>222</v>
      </c>
      <c r="E180">
        <v>0</v>
      </c>
    </row>
    <row r="181" spans="1:5" x14ac:dyDescent="0.25">
      <c r="A181" t="s">
        <v>246</v>
      </c>
      <c r="B181">
        <f>COUNTIF(Sheet1!$F$2:$AF$21,allcase!A181)</f>
        <v>0</v>
      </c>
      <c r="D181" t="s">
        <v>224</v>
      </c>
      <c r="E181">
        <v>0</v>
      </c>
    </row>
    <row r="182" spans="1:5" x14ac:dyDescent="0.25">
      <c r="A182" t="s">
        <v>247</v>
      </c>
      <c r="B182">
        <f>COUNTIF(Sheet1!$F$2:$AF$21,allcase!A182)</f>
        <v>10</v>
      </c>
      <c r="D182" t="s">
        <v>225</v>
      </c>
      <c r="E182">
        <v>0</v>
      </c>
    </row>
    <row r="183" spans="1:5" x14ac:dyDescent="0.25">
      <c r="A183" t="s">
        <v>248</v>
      </c>
      <c r="B183">
        <f>COUNTIF(Sheet1!$F$2:$AF$21,allcase!A183)</f>
        <v>4</v>
      </c>
      <c r="D183" t="s">
        <v>227</v>
      </c>
      <c r="E183">
        <v>0</v>
      </c>
    </row>
    <row r="184" spans="1:5" x14ac:dyDescent="0.25">
      <c r="A184" t="s">
        <v>249</v>
      </c>
      <c r="B184">
        <f>COUNTIF(Sheet1!$F$2:$AF$21,allcase!A184)</f>
        <v>0</v>
      </c>
      <c r="D184" t="s">
        <v>228</v>
      </c>
      <c r="E184">
        <v>0</v>
      </c>
    </row>
    <row r="185" spans="1:5" x14ac:dyDescent="0.25">
      <c r="A185" t="s">
        <v>250</v>
      </c>
      <c r="B185">
        <f>COUNTIF(Sheet1!$F$2:$AF$21,allcase!A185)</f>
        <v>0</v>
      </c>
      <c r="D185" t="s">
        <v>230</v>
      </c>
      <c r="E185">
        <v>0</v>
      </c>
    </row>
    <row r="186" spans="1:5" x14ac:dyDescent="0.25">
      <c r="A186" t="s">
        <v>251</v>
      </c>
      <c r="B186">
        <f>COUNTIF(Sheet1!$F$2:$AF$21,allcase!A186)</f>
        <v>0</v>
      </c>
      <c r="D186" t="s">
        <v>231</v>
      </c>
      <c r="E186">
        <v>0</v>
      </c>
    </row>
    <row r="187" spans="1:5" x14ac:dyDescent="0.25">
      <c r="A187" t="s">
        <v>252</v>
      </c>
      <c r="B187">
        <f>COUNTIF(Sheet1!$F$2:$AF$21,allcase!A187)</f>
        <v>0</v>
      </c>
      <c r="D187" t="s">
        <v>233</v>
      </c>
      <c r="E187">
        <v>0</v>
      </c>
    </row>
    <row r="188" spans="1:5" x14ac:dyDescent="0.25">
      <c r="A188" t="s">
        <v>253</v>
      </c>
      <c r="B188">
        <f>COUNTIF(Sheet1!$F$2:$AF$21,allcase!A188)</f>
        <v>10</v>
      </c>
      <c r="D188" t="s">
        <v>234</v>
      </c>
      <c r="E188">
        <v>0</v>
      </c>
    </row>
    <row r="189" spans="1:5" x14ac:dyDescent="0.25">
      <c r="A189" t="s">
        <v>254</v>
      </c>
      <c r="B189">
        <f>COUNTIF(Sheet1!$F$2:$AF$21,allcase!A189)</f>
        <v>0</v>
      </c>
      <c r="D189" t="s">
        <v>235</v>
      </c>
      <c r="E189">
        <v>0</v>
      </c>
    </row>
    <row r="190" spans="1:5" x14ac:dyDescent="0.25">
      <c r="A190" t="s">
        <v>255</v>
      </c>
      <c r="B190">
        <f>COUNTIF(Sheet1!$F$2:$AF$21,allcase!A190)</f>
        <v>0</v>
      </c>
      <c r="D190" t="s">
        <v>236</v>
      </c>
      <c r="E190">
        <v>0</v>
      </c>
    </row>
    <row r="191" spans="1:5" x14ac:dyDescent="0.25">
      <c r="A191" t="s">
        <v>256</v>
      </c>
      <c r="B191">
        <f>COUNTIF(Sheet1!$F$2:$AF$21,allcase!A191)</f>
        <v>7</v>
      </c>
      <c r="D191" t="s">
        <v>237</v>
      </c>
      <c r="E191">
        <v>0</v>
      </c>
    </row>
    <row r="192" spans="1:5" x14ac:dyDescent="0.25">
      <c r="A192" t="s">
        <v>257</v>
      </c>
      <c r="B192">
        <f>COUNTIF(Sheet1!$F$2:$AF$21,allcase!A192)</f>
        <v>0</v>
      </c>
      <c r="D192" t="s">
        <v>239</v>
      </c>
      <c r="E192">
        <v>0</v>
      </c>
    </row>
    <row r="193" spans="1:5" x14ac:dyDescent="0.25">
      <c r="A193" t="s">
        <v>258</v>
      </c>
      <c r="B193">
        <f>COUNTIF(Sheet1!$F$2:$AF$21,allcase!A193)</f>
        <v>0</v>
      </c>
      <c r="D193" t="s">
        <v>240</v>
      </c>
      <c r="E193">
        <v>0</v>
      </c>
    </row>
    <row r="194" spans="1:5" x14ac:dyDescent="0.25">
      <c r="A194" t="s">
        <v>259</v>
      </c>
      <c r="B194">
        <f>COUNTIF(Sheet1!$F$2:$AF$21,allcase!A194)</f>
        <v>10</v>
      </c>
      <c r="D194" t="s">
        <v>242</v>
      </c>
      <c r="E194">
        <v>0</v>
      </c>
    </row>
    <row r="195" spans="1:5" x14ac:dyDescent="0.25">
      <c r="A195" t="s">
        <v>260</v>
      </c>
      <c r="B195">
        <f>COUNTIF(Sheet1!$F$2:$AF$21,allcase!A195)</f>
        <v>0</v>
      </c>
      <c r="D195" t="s">
        <v>243</v>
      </c>
      <c r="E195">
        <v>0</v>
      </c>
    </row>
    <row r="196" spans="1:5" x14ac:dyDescent="0.25">
      <c r="A196" t="s">
        <v>261</v>
      </c>
      <c r="B196">
        <f>COUNTIF(Sheet1!$F$2:$AF$21,allcase!A196)</f>
        <v>0</v>
      </c>
      <c r="D196" t="s">
        <v>245</v>
      </c>
      <c r="E196">
        <v>0</v>
      </c>
    </row>
    <row r="197" spans="1:5" x14ac:dyDescent="0.25">
      <c r="A197" t="s">
        <v>262</v>
      </c>
      <c r="B197">
        <f>COUNTIF(Sheet1!$F$2:$AF$21,allcase!A197)</f>
        <v>0</v>
      </c>
      <c r="D197" t="s">
        <v>246</v>
      </c>
      <c r="E197">
        <v>0</v>
      </c>
    </row>
    <row r="198" spans="1:5" x14ac:dyDescent="0.25">
      <c r="A198" t="s">
        <v>263</v>
      </c>
      <c r="B198">
        <f>COUNTIF(Sheet1!$F$2:$AF$21,allcase!A198)</f>
        <v>0</v>
      </c>
      <c r="D198" t="s">
        <v>249</v>
      </c>
      <c r="E198">
        <v>0</v>
      </c>
    </row>
    <row r="199" spans="1:5" x14ac:dyDescent="0.25">
      <c r="A199" t="s">
        <v>264</v>
      </c>
      <c r="B199">
        <f>COUNTIF(Sheet1!$F$2:$AF$21,allcase!A199)</f>
        <v>0</v>
      </c>
      <c r="D199" t="s">
        <v>250</v>
      </c>
      <c r="E199">
        <v>0</v>
      </c>
    </row>
    <row r="200" spans="1:5" x14ac:dyDescent="0.25">
      <c r="A200" t="s">
        <v>265</v>
      </c>
      <c r="B200">
        <f>COUNTIF(Sheet1!$F$2:$AF$21,allcase!A200)</f>
        <v>0</v>
      </c>
      <c r="D200" t="s">
        <v>251</v>
      </c>
      <c r="E200">
        <v>0</v>
      </c>
    </row>
    <row r="201" spans="1:5" x14ac:dyDescent="0.25">
      <c r="A201" t="s">
        <v>266</v>
      </c>
      <c r="B201">
        <f>COUNTIF(Sheet1!$F$2:$AF$21,allcase!A201)</f>
        <v>0</v>
      </c>
      <c r="D201" t="s">
        <v>252</v>
      </c>
      <c r="E201">
        <v>0</v>
      </c>
    </row>
    <row r="202" spans="1:5" x14ac:dyDescent="0.25">
      <c r="A202" t="s">
        <v>267</v>
      </c>
      <c r="B202">
        <f>COUNTIF(Sheet1!$F$2:$AF$21,allcase!A202)</f>
        <v>0</v>
      </c>
      <c r="D202" t="s">
        <v>254</v>
      </c>
      <c r="E202">
        <v>0</v>
      </c>
    </row>
    <row r="203" spans="1:5" x14ac:dyDescent="0.25">
      <c r="A203" t="s">
        <v>268</v>
      </c>
      <c r="B203">
        <f>COUNTIF(Sheet1!$F$2:$AF$21,allcase!A203)</f>
        <v>0</v>
      </c>
      <c r="D203" t="s">
        <v>255</v>
      </c>
      <c r="E203">
        <v>0</v>
      </c>
    </row>
    <row r="204" spans="1:5" x14ac:dyDescent="0.25">
      <c r="A204" t="s">
        <v>269</v>
      </c>
      <c r="B204">
        <f>COUNTIF(Sheet1!$F$2:$AF$21,allcase!A204)</f>
        <v>0</v>
      </c>
      <c r="D204" t="s">
        <v>257</v>
      </c>
      <c r="E204">
        <v>0</v>
      </c>
    </row>
    <row r="205" spans="1:5" x14ac:dyDescent="0.25">
      <c r="A205" t="s">
        <v>270</v>
      </c>
      <c r="B205">
        <f>COUNTIF(Sheet1!$F$2:$AF$21,allcase!A205)</f>
        <v>0</v>
      </c>
      <c r="D205" t="s">
        <v>258</v>
      </c>
      <c r="E205">
        <v>0</v>
      </c>
    </row>
    <row r="206" spans="1:5" x14ac:dyDescent="0.25">
      <c r="A206" t="s">
        <v>271</v>
      </c>
      <c r="B206">
        <f>COUNTIF(Sheet1!$F$2:$AF$21,allcase!A206)</f>
        <v>0</v>
      </c>
      <c r="D206" t="s">
        <v>260</v>
      </c>
      <c r="E206">
        <v>0</v>
      </c>
    </row>
    <row r="207" spans="1:5" x14ac:dyDescent="0.25">
      <c r="A207" t="s">
        <v>272</v>
      </c>
      <c r="B207">
        <f>COUNTIF(Sheet1!$F$2:$AF$21,allcase!A207)</f>
        <v>0</v>
      </c>
      <c r="D207" t="s">
        <v>261</v>
      </c>
      <c r="E207">
        <v>0</v>
      </c>
    </row>
    <row r="208" spans="1:5" x14ac:dyDescent="0.25">
      <c r="A208" t="s">
        <v>273</v>
      </c>
      <c r="B208">
        <f>COUNTIF(Sheet1!$F$2:$AF$21,allcase!A208)</f>
        <v>0</v>
      </c>
      <c r="D208" t="s">
        <v>262</v>
      </c>
      <c r="E208">
        <v>0</v>
      </c>
    </row>
    <row r="209" spans="1:5" x14ac:dyDescent="0.25">
      <c r="A209" t="s">
        <v>274</v>
      </c>
      <c r="B209">
        <f>COUNTIF(Sheet1!$F$2:$AF$21,allcase!A209)</f>
        <v>0</v>
      </c>
      <c r="D209" t="s">
        <v>263</v>
      </c>
      <c r="E209">
        <v>0</v>
      </c>
    </row>
    <row r="210" spans="1:5" x14ac:dyDescent="0.25">
      <c r="A210" t="s">
        <v>275</v>
      </c>
      <c r="B210">
        <f>COUNTIF(Sheet1!$F$2:$AF$21,allcase!A210)</f>
        <v>0</v>
      </c>
      <c r="D210" t="s">
        <v>264</v>
      </c>
      <c r="E210">
        <v>0</v>
      </c>
    </row>
    <row r="211" spans="1:5" x14ac:dyDescent="0.25">
      <c r="A211" t="s">
        <v>276</v>
      </c>
      <c r="B211">
        <f>COUNTIF(Sheet1!$F$2:$AF$21,allcase!A211)</f>
        <v>0</v>
      </c>
      <c r="D211" t="s">
        <v>265</v>
      </c>
      <c r="E211">
        <v>0</v>
      </c>
    </row>
    <row r="212" spans="1:5" x14ac:dyDescent="0.25">
      <c r="A212" t="s">
        <v>277</v>
      </c>
      <c r="B212">
        <f>COUNTIF(Sheet1!$F$2:$AF$21,allcase!A212)</f>
        <v>0</v>
      </c>
      <c r="D212" t="s">
        <v>266</v>
      </c>
      <c r="E212">
        <v>0</v>
      </c>
    </row>
    <row r="213" spans="1:5" x14ac:dyDescent="0.25">
      <c r="A213" t="s">
        <v>278</v>
      </c>
      <c r="B213">
        <f>COUNTIF(Sheet1!$F$2:$AF$21,allcase!A213)</f>
        <v>0</v>
      </c>
      <c r="D213" t="s">
        <v>267</v>
      </c>
      <c r="E213">
        <v>0</v>
      </c>
    </row>
    <row r="214" spans="1:5" x14ac:dyDescent="0.25">
      <c r="A214" t="s">
        <v>279</v>
      </c>
      <c r="B214">
        <f>COUNTIF(Sheet1!$F$2:$AF$21,allcase!A214)</f>
        <v>1</v>
      </c>
      <c r="D214" t="s">
        <v>268</v>
      </c>
      <c r="E214">
        <v>0</v>
      </c>
    </row>
    <row r="215" spans="1:5" x14ac:dyDescent="0.25">
      <c r="A215" t="s">
        <v>280</v>
      </c>
      <c r="B215">
        <f>COUNTIF(Sheet1!$F$2:$AF$21,allcase!A215)</f>
        <v>1</v>
      </c>
      <c r="D215" t="s">
        <v>269</v>
      </c>
      <c r="E215">
        <v>0</v>
      </c>
    </row>
    <row r="216" spans="1:5" x14ac:dyDescent="0.25">
      <c r="A216" t="s">
        <v>281</v>
      </c>
      <c r="B216">
        <f>COUNTIF(Sheet1!$F$2:$AF$21,allcase!A216)</f>
        <v>8</v>
      </c>
      <c r="D216" t="s">
        <v>270</v>
      </c>
      <c r="E216">
        <v>0</v>
      </c>
    </row>
    <row r="217" spans="1:5" x14ac:dyDescent="0.25">
      <c r="A217" t="s">
        <v>282</v>
      </c>
      <c r="B217">
        <f>COUNTIF(Sheet1!$F$2:$AF$21,allcase!A217)</f>
        <v>2</v>
      </c>
      <c r="D217" t="s">
        <v>271</v>
      </c>
      <c r="E217">
        <v>0</v>
      </c>
    </row>
    <row r="218" spans="1:5" x14ac:dyDescent="0.25">
      <c r="A218" t="s">
        <v>283</v>
      </c>
      <c r="B218">
        <f>COUNTIF(Sheet1!$F$2:$AF$21,allcase!A218)</f>
        <v>0</v>
      </c>
      <c r="D218" t="s">
        <v>272</v>
      </c>
      <c r="E218">
        <v>0</v>
      </c>
    </row>
    <row r="219" spans="1:5" x14ac:dyDescent="0.25">
      <c r="A219" t="s">
        <v>284</v>
      </c>
      <c r="B219">
        <f>COUNTIF(Sheet1!$F$2:$AF$21,allcase!A219)</f>
        <v>10</v>
      </c>
      <c r="D219" t="s">
        <v>273</v>
      </c>
      <c r="E219">
        <v>0</v>
      </c>
    </row>
    <row r="220" spans="1:5" x14ac:dyDescent="0.25">
      <c r="A220" t="s">
        <v>285</v>
      </c>
      <c r="B220">
        <f>COUNTIF(Sheet1!$F$2:$AF$21,allcase!A220)</f>
        <v>7</v>
      </c>
      <c r="D220" t="s">
        <v>274</v>
      </c>
      <c r="E220">
        <v>0</v>
      </c>
    </row>
    <row r="221" spans="1:5" x14ac:dyDescent="0.25">
      <c r="A221" t="s">
        <v>286</v>
      </c>
      <c r="B221">
        <f>COUNTIF(Sheet1!$F$2:$AF$21,allcase!A221)</f>
        <v>10</v>
      </c>
      <c r="D221" t="s">
        <v>275</v>
      </c>
      <c r="E221">
        <v>0</v>
      </c>
    </row>
    <row r="222" spans="1:5" x14ac:dyDescent="0.25">
      <c r="A222" t="s">
        <v>287</v>
      </c>
      <c r="B222">
        <f>COUNTIF(Sheet1!$F$2:$AF$21,allcase!A222)</f>
        <v>10</v>
      </c>
      <c r="D222" t="s">
        <v>276</v>
      </c>
      <c r="E222">
        <v>0</v>
      </c>
    </row>
    <row r="223" spans="1:5" x14ac:dyDescent="0.25">
      <c r="A223" t="s">
        <v>288</v>
      </c>
      <c r="B223">
        <f>COUNTIF(Sheet1!$F$2:$AF$21,allcase!A223)</f>
        <v>0</v>
      </c>
      <c r="D223" t="s">
        <v>277</v>
      </c>
      <c r="E223">
        <v>0</v>
      </c>
    </row>
    <row r="224" spans="1:5" x14ac:dyDescent="0.25">
      <c r="A224" t="s">
        <v>289</v>
      </c>
      <c r="B224">
        <f>COUNTIF(Sheet1!$F$2:$AF$21,allcase!A224)</f>
        <v>3</v>
      </c>
      <c r="D224" t="s">
        <v>278</v>
      </c>
      <c r="E224">
        <v>0</v>
      </c>
    </row>
    <row r="225" spans="1:5" x14ac:dyDescent="0.25">
      <c r="A225" t="s">
        <v>290</v>
      </c>
      <c r="B225">
        <f>COUNTIF(Sheet1!$F$2:$AF$21,allcase!A225)</f>
        <v>6</v>
      </c>
      <c r="D225" t="s">
        <v>283</v>
      </c>
      <c r="E225">
        <v>0</v>
      </c>
    </row>
    <row r="226" spans="1:5" x14ac:dyDescent="0.25">
      <c r="A226" t="s">
        <v>291</v>
      </c>
      <c r="B226">
        <f>COUNTIF(Sheet1!$F$2:$AF$21,allcase!A226)</f>
        <v>9</v>
      </c>
      <c r="D226" t="s">
        <v>288</v>
      </c>
      <c r="E226">
        <v>0</v>
      </c>
    </row>
    <row r="227" spans="1:5" x14ac:dyDescent="0.25">
      <c r="A227" t="s">
        <v>292</v>
      </c>
      <c r="B227">
        <f>COUNTIF(Sheet1!$F$2:$AF$21,allcase!A227)</f>
        <v>0</v>
      </c>
      <c r="D227" t="s">
        <v>292</v>
      </c>
      <c r="E227">
        <v>0</v>
      </c>
    </row>
    <row r="228" spans="1:5" x14ac:dyDescent="0.25">
      <c r="A228" t="s">
        <v>293</v>
      </c>
      <c r="B228">
        <f>COUNTIF(Sheet1!$F$2:$AF$21,allcase!A228)</f>
        <v>0</v>
      </c>
      <c r="D228" t="s">
        <v>293</v>
      </c>
      <c r="E228">
        <v>0</v>
      </c>
    </row>
    <row r="229" spans="1:5" x14ac:dyDescent="0.25">
      <c r="A229" t="s">
        <v>294</v>
      </c>
      <c r="B229">
        <f>COUNTIF(Sheet1!$F$2:$AF$21,allcase!A229)</f>
        <v>0</v>
      </c>
      <c r="D229" t="s">
        <v>294</v>
      </c>
      <c r="E229">
        <v>0</v>
      </c>
    </row>
    <row r="230" spans="1:5" x14ac:dyDescent="0.25">
      <c r="A230" t="s">
        <v>295</v>
      </c>
      <c r="B230">
        <f>COUNTIF(Sheet1!$F$2:$AF$21,allcase!A230)</f>
        <v>0</v>
      </c>
      <c r="D230" t="s">
        <v>295</v>
      </c>
      <c r="E230">
        <v>0</v>
      </c>
    </row>
    <row r="231" spans="1:5" x14ac:dyDescent="0.25">
      <c r="A231" t="s">
        <v>296</v>
      </c>
      <c r="B231">
        <f>COUNTIF(Sheet1!$F$2:$AF$21,allcase!A231)</f>
        <v>0</v>
      </c>
      <c r="D231" t="s">
        <v>296</v>
      </c>
      <c r="E231">
        <v>0</v>
      </c>
    </row>
    <row r="232" spans="1:5" x14ac:dyDescent="0.25">
      <c r="A232" t="s">
        <v>297</v>
      </c>
      <c r="B232">
        <f>COUNTIF(Sheet1!$F$2:$AF$21,allcase!A232)</f>
        <v>0</v>
      </c>
      <c r="D232" t="s">
        <v>297</v>
      </c>
      <c r="E232">
        <v>0</v>
      </c>
    </row>
    <row r="233" spans="1:5" x14ac:dyDescent="0.25">
      <c r="A233" t="s">
        <v>298</v>
      </c>
      <c r="B233">
        <f>COUNTIF(Sheet1!$F$2:$AF$21,allcase!A233)</f>
        <v>0</v>
      </c>
      <c r="D233" t="s">
        <v>298</v>
      </c>
      <c r="E233">
        <v>0</v>
      </c>
    </row>
    <row r="234" spans="1:5" x14ac:dyDescent="0.25">
      <c r="A234" t="s">
        <v>299</v>
      </c>
      <c r="B234">
        <f>COUNTIF(Sheet1!$F$2:$AF$21,allcase!A234)</f>
        <v>0</v>
      </c>
      <c r="D234" t="s">
        <v>299</v>
      </c>
      <c r="E234">
        <v>0</v>
      </c>
    </row>
    <row r="235" spans="1:5" x14ac:dyDescent="0.25">
      <c r="A235" t="s">
        <v>300</v>
      </c>
      <c r="B235">
        <f>COUNTIF(Sheet1!$F$2:$AF$21,allcase!A235)</f>
        <v>0</v>
      </c>
      <c r="D235" t="s">
        <v>300</v>
      </c>
      <c r="E235">
        <v>0</v>
      </c>
    </row>
    <row r="236" spans="1:5" x14ac:dyDescent="0.25">
      <c r="A236" t="s">
        <v>301</v>
      </c>
      <c r="B236">
        <f>COUNTIF(Sheet1!$F$2:$AF$21,allcase!A236)</f>
        <v>0</v>
      </c>
      <c r="D236" t="s">
        <v>301</v>
      </c>
      <c r="E236">
        <v>0</v>
      </c>
    </row>
    <row r="237" spans="1:5" x14ac:dyDescent="0.25">
      <c r="A237" t="s">
        <v>302</v>
      </c>
      <c r="B237">
        <f>COUNTIF(Sheet1!$F$2:$AF$21,allcase!A237)</f>
        <v>0</v>
      </c>
      <c r="D237" t="s">
        <v>302</v>
      </c>
      <c r="E237">
        <v>0</v>
      </c>
    </row>
  </sheetData>
  <sortState xmlns:xlrd2="http://schemas.microsoft.com/office/spreadsheetml/2017/richdata2" ref="D2:E237">
    <sortCondition descending="1" ref="E2:E2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DF0C-FE06-43BD-89D9-6B76897C50AF}">
  <dimension ref="A1:H237"/>
  <sheetViews>
    <sheetView workbookViewId="0">
      <selection activeCell="G1" sqref="G1:H47"/>
    </sheetView>
  </sheetViews>
  <sheetFormatPr defaultRowHeight="15" x14ac:dyDescent="0.25"/>
  <sheetData>
    <row r="1" spans="1:8" x14ac:dyDescent="0.25">
      <c r="A1" t="s">
        <v>303</v>
      </c>
      <c r="B1" t="s">
        <v>4</v>
      </c>
      <c r="D1" t="s">
        <v>303</v>
      </c>
      <c r="E1" t="s">
        <v>4</v>
      </c>
      <c r="G1" t="s">
        <v>303</v>
      </c>
      <c r="H1" t="s">
        <v>4</v>
      </c>
    </row>
    <row r="2" spans="1:8" x14ac:dyDescent="0.25">
      <c r="A2" t="s">
        <v>67</v>
      </c>
      <c r="B2">
        <f>COUNTIF(Sheet1!$F$22:$AF$41,allcase!A2)</f>
        <v>0</v>
      </c>
      <c r="D2" t="s">
        <v>143</v>
      </c>
      <c r="E2">
        <v>10</v>
      </c>
      <c r="G2" t="s">
        <v>143</v>
      </c>
      <c r="H2">
        <v>10</v>
      </c>
    </row>
    <row r="3" spans="1:8" x14ac:dyDescent="0.25">
      <c r="A3" t="s">
        <v>68</v>
      </c>
      <c r="B3">
        <f>COUNTIF(Sheet1!$F$22:$AF$41,allcase!A3)</f>
        <v>0</v>
      </c>
      <c r="D3" t="s">
        <v>158</v>
      </c>
      <c r="E3">
        <v>10</v>
      </c>
      <c r="G3" t="s">
        <v>158</v>
      </c>
      <c r="H3">
        <v>10</v>
      </c>
    </row>
    <row r="4" spans="1:8" x14ac:dyDescent="0.25">
      <c r="A4" t="s">
        <v>69</v>
      </c>
      <c r="B4">
        <f>COUNTIF(Sheet1!$F$22:$AF$41,allcase!A4)</f>
        <v>0</v>
      </c>
      <c r="D4" t="s">
        <v>161</v>
      </c>
      <c r="E4">
        <v>10</v>
      </c>
      <c r="G4" t="s">
        <v>161</v>
      </c>
      <c r="H4">
        <v>10</v>
      </c>
    </row>
    <row r="5" spans="1:8" x14ac:dyDescent="0.25">
      <c r="A5" t="s">
        <v>70</v>
      </c>
      <c r="B5">
        <f>COUNTIF(Sheet1!$F$22:$AF$41,allcase!A5)</f>
        <v>0</v>
      </c>
      <c r="D5" t="s">
        <v>185</v>
      </c>
      <c r="E5">
        <v>10</v>
      </c>
      <c r="G5" t="s">
        <v>185</v>
      </c>
      <c r="H5">
        <v>10</v>
      </c>
    </row>
    <row r="6" spans="1:8" x14ac:dyDescent="0.25">
      <c r="A6" t="s">
        <v>71</v>
      </c>
      <c r="B6">
        <f>COUNTIF(Sheet1!$F$22:$AF$41,allcase!A6)</f>
        <v>0</v>
      </c>
      <c r="D6" t="s">
        <v>238</v>
      </c>
      <c r="E6">
        <v>10</v>
      </c>
      <c r="G6" t="s">
        <v>238</v>
      </c>
      <c r="H6">
        <v>10</v>
      </c>
    </row>
    <row r="7" spans="1:8" x14ac:dyDescent="0.25">
      <c r="A7" t="s">
        <v>72</v>
      </c>
      <c r="B7">
        <f>COUNTIF(Sheet1!$F$22:$AF$41,allcase!A7)</f>
        <v>0</v>
      </c>
      <c r="D7" t="s">
        <v>244</v>
      </c>
      <c r="E7">
        <v>10</v>
      </c>
      <c r="G7" t="s">
        <v>244</v>
      </c>
      <c r="H7">
        <v>10</v>
      </c>
    </row>
    <row r="8" spans="1:8" x14ac:dyDescent="0.25">
      <c r="A8" t="s">
        <v>73</v>
      </c>
      <c r="B8">
        <f>COUNTIF(Sheet1!$F$22:$AF$41,allcase!A8)</f>
        <v>0</v>
      </c>
      <c r="D8" t="s">
        <v>247</v>
      </c>
      <c r="E8">
        <v>10</v>
      </c>
      <c r="G8" t="s">
        <v>247</v>
      </c>
      <c r="H8">
        <v>10</v>
      </c>
    </row>
    <row r="9" spans="1:8" x14ac:dyDescent="0.25">
      <c r="A9" t="s">
        <v>74</v>
      </c>
      <c r="B9">
        <f>COUNTIF(Sheet1!$F$22:$AF$41,allcase!A9)</f>
        <v>0</v>
      </c>
      <c r="D9" t="s">
        <v>253</v>
      </c>
      <c r="E9">
        <v>10</v>
      </c>
      <c r="G9" t="s">
        <v>253</v>
      </c>
      <c r="H9">
        <v>10</v>
      </c>
    </row>
    <row r="10" spans="1:8" x14ac:dyDescent="0.25">
      <c r="A10" t="s">
        <v>75</v>
      </c>
      <c r="B10">
        <f>COUNTIF(Sheet1!$F$22:$AF$41,allcase!A10)</f>
        <v>0</v>
      </c>
      <c r="D10" t="s">
        <v>259</v>
      </c>
      <c r="E10">
        <v>10</v>
      </c>
      <c r="G10" t="s">
        <v>259</v>
      </c>
      <c r="H10">
        <v>10</v>
      </c>
    </row>
    <row r="11" spans="1:8" x14ac:dyDescent="0.25">
      <c r="A11" t="s">
        <v>76</v>
      </c>
      <c r="B11">
        <f>COUNTIF(Sheet1!$F$22:$AF$41,allcase!A11)</f>
        <v>0</v>
      </c>
      <c r="D11" t="s">
        <v>285</v>
      </c>
      <c r="E11">
        <v>10</v>
      </c>
      <c r="G11" t="s">
        <v>285</v>
      </c>
      <c r="H11">
        <v>10</v>
      </c>
    </row>
    <row r="12" spans="1:8" x14ac:dyDescent="0.25">
      <c r="A12" t="s">
        <v>77</v>
      </c>
      <c r="B12">
        <f>COUNTIF(Sheet1!$F$22:$AF$41,allcase!A12)</f>
        <v>0</v>
      </c>
      <c r="D12" t="s">
        <v>286</v>
      </c>
      <c r="E12">
        <v>10</v>
      </c>
      <c r="G12" t="s">
        <v>286</v>
      </c>
      <c r="H12">
        <v>10</v>
      </c>
    </row>
    <row r="13" spans="1:8" x14ac:dyDescent="0.25">
      <c r="A13" t="s">
        <v>78</v>
      </c>
      <c r="B13">
        <f>COUNTIF(Sheet1!$F$22:$AF$41,allcase!A13)</f>
        <v>0</v>
      </c>
      <c r="D13" t="s">
        <v>287</v>
      </c>
      <c r="E13">
        <v>10</v>
      </c>
      <c r="G13" t="s">
        <v>287</v>
      </c>
      <c r="H13">
        <v>10</v>
      </c>
    </row>
    <row r="14" spans="1:8" x14ac:dyDescent="0.25">
      <c r="A14" t="s">
        <v>79</v>
      </c>
      <c r="B14">
        <f>COUNTIF(Sheet1!$F$22:$AF$41,allcase!A14)</f>
        <v>0</v>
      </c>
      <c r="D14" t="s">
        <v>289</v>
      </c>
      <c r="E14">
        <v>10</v>
      </c>
      <c r="G14" t="s">
        <v>289</v>
      </c>
      <c r="H14">
        <v>10</v>
      </c>
    </row>
    <row r="15" spans="1:8" x14ac:dyDescent="0.25">
      <c r="A15" t="s">
        <v>80</v>
      </c>
      <c r="B15">
        <f>COUNTIF(Sheet1!$F$22:$AF$41,allcase!A15)</f>
        <v>0</v>
      </c>
      <c r="D15" t="s">
        <v>291</v>
      </c>
      <c r="E15">
        <v>10</v>
      </c>
      <c r="G15" t="s">
        <v>291</v>
      </c>
      <c r="H15">
        <v>10</v>
      </c>
    </row>
    <row r="16" spans="1:8" x14ac:dyDescent="0.25">
      <c r="A16" t="s">
        <v>81</v>
      </c>
      <c r="B16">
        <f>COUNTIF(Sheet1!$F$22:$AF$41,allcase!A16)</f>
        <v>0</v>
      </c>
      <c r="D16" t="s">
        <v>281</v>
      </c>
      <c r="E16">
        <v>9</v>
      </c>
      <c r="G16" t="s">
        <v>281</v>
      </c>
      <c r="H16">
        <v>9</v>
      </c>
    </row>
    <row r="17" spans="1:8" x14ac:dyDescent="0.25">
      <c r="A17" t="s">
        <v>82</v>
      </c>
      <c r="B17">
        <f>COUNTIF(Sheet1!$F$22:$AF$41,allcase!A17)</f>
        <v>0</v>
      </c>
      <c r="D17" t="s">
        <v>284</v>
      </c>
      <c r="E17">
        <v>9</v>
      </c>
      <c r="G17" t="s">
        <v>284</v>
      </c>
      <c r="H17">
        <v>9</v>
      </c>
    </row>
    <row r="18" spans="1:8" x14ac:dyDescent="0.25">
      <c r="A18" t="s">
        <v>83</v>
      </c>
      <c r="B18">
        <f>COUNTIF(Sheet1!$F$22:$AF$41,allcase!A18)</f>
        <v>0</v>
      </c>
      <c r="D18" t="s">
        <v>288</v>
      </c>
      <c r="E18">
        <v>9</v>
      </c>
      <c r="G18" t="s">
        <v>288</v>
      </c>
      <c r="H18">
        <v>9</v>
      </c>
    </row>
    <row r="19" spans="1:8" x14ac:dyDescent="0.25">
      <c r="A19" t="s">
        <v>84</v>
      </c>
      <c r="B19">
        <f>COUNTIF(Sheet1!$F$22:$AF$41,allcase!A19)</f>
        <v>0</v>
      </c>
      <c r="D19" t="s">
        <v>290</v>
      </c>
      <c r="E19">
        <v>9</v>
      </c>
      <c r="G19" t="s">
        <v>290</v>
      </c>
      <c r="H19">
        <v>9</v>
      </c>
    </row>
    <row r="20" spans="1:8" x14ac:dyDescent="0.25">
      <c r="A20" t="s">
        <v>85</v>
      </c>
      <c r="B20">
        <f>COUNTIF(Sheet1!$F$22:$AF$41,allcase!A20)</f>
        <v>0</v>
      </c>
      <c r="D20" t="s">
        <v>156</v>
      </c>
      <c r="E20">
        <v>8</v>
      </c>
      <c r="G20" t="s">
        <v>156</v>
      </c>
      <c r="H20">
        <v>8</v>
      </c>
    </row>
    <row r="21" spans="1:8" x14ac:dyDescent="0.25">
      <c r="A21" t="s">
        <v>86</v>
      </c>
      <c r="B21">
        <f>COUNTIF(Sheet1!$F$22:$AF$41,allcase!A21)</f>
        <v>0</v>
      </c>
      <c r="D21" t="s">
        <v>184</v>
      </c>
      <c r="E21">
        <v>8</v>
      </c>
      <c r="G21" t="s">
        <v>184</v>
      </c>
      <c r="H21">
        <v>8</v>
      </c>
    </row>
    <row r="22" spans="1:8" x14ac:dyDescent="0.25">
      <c r="A22" t="s">
        <v>87</v>
      </c>
      <c r="B22">
        <f>COUNTIF(Sheet1!$F$22:$AF$41,allcase!A22)</f>
        <v>0</v>
      </c>
      <c r="D22" t="s">
        <v>182</v>
      </c>
      <c r="E22">
        <v>7</v>
      </c>
      <c r="G22" t="s">
        <v>182</v>
      </c>
      <c r="H22">
        <v>7</v>
      </c>
    </row>
    <row r="23" spans="1:8" x14ac:dyDescent="0.25">
      <c r="A23" t="s">
        <v>88</v>
      </c>
      <c r="B23">
        <f>COUNTIF(Sheet1!$F$22:$AF$41,allcase!A23)</f>
        <v>0</v>
      </c>
      <c r="D23" t="s">
        <v>229</v>
      </c>
      <c r="E23">
        <v>7</v>
      </c>
      <c r="G23" t="s">
        <v>229</v>
      </c>
      <c r="H23">
        <v>7</v>
      </c>
    </row>
    <row r="24" spans="1:8" x14ac:dyDescent="0.25">
      <c r="A24" t="s">
        <v>89</v>
      </c>
      <c r="B24">
        <f>COUNTIF(Sheet1!$F$22:$AF$41,allcase!A24)</f>
        <v>0</v>
      </c>
      <c r="D24" t="s">
        <v>140</v>
      </c>
      <c r="E24">
        <v>6</v>
      </c>
      <c r="G24" t="s">
        <v>140</v>
      </c>
      <c r="H24">
        <v>6</v>
      </c>
    </row>
    <row r="25" spans="1:8" x14ac:dyDescent="0.25">
      <c r="A25" t="s">
        <v>90</v>
      </c>
      <c r="B25">
        <f>COUNTIF(Sheet1!$F$22:$AF$41,allcase!A25)</f>
        <v>0</v>
      </c>
      <c r="D25" t="s">
        <v>248</v>
      </c>
      <c r="E25">
        <v>6</v>
      </c>
      <c r="G25" t="s">
        <v>248</v>
      </c>
      <c r="H25">
        <v>6</v>
      </c>
    </row>
    <row r="26" spans="1:8" x14ac:dyDescent="0.25">
      <c r="A26" t="s">
        <v>91</v>
      </c>
      <c r="B26">
        <f>COUNTIF(Sheet1!$F$22:$AF$41,allcase!A26)</f>
        <v>0</v>
      </c>
      <c r="D26" t="s">
        <v>256</v>
      </c>
      <c r="E26">
        <v>6</v>
      </c>
      <c r="G26" t="s">
        <v>256</v>
      </c>
      <c r="H26">
        <v>6</v>
      </c>
    </row>
    <row r="27" spans="1:8" x14ac:dyDescent="0.25">
      <c r="A27" t="s">
        <v>92</v>
      </c>
      <c r="B27">
        <f>COUNTIF(Sheet1!$F$22:$AF$41,allcase!A27)</f>
        <v>0</v>
      </c>
      <c r="D27" t="s">
        <v>282</v>
      </c>
      <c r="E27">
        <v>6</v>
      </c>
      <c r="G27" t="s">
        <v>282</v>
      </c>
      <c r="H27">
        <v>6</v>
      </c>
    </row>
    <row r="28" spans="1:8" x14ac:dyDescent="0.25">
      <c r="A28" t="s">
        <v>93</v>
      </c>
      <c r="B28">
        <f>COUNTIF(Sheet1!$F$22:$AF$41,allcase!A28)</f>
        <v>0</v>
      </c>
      <c r="D28" t="s">
        <v>138</v>
      </c>
      <c r="E28">
        <v>5</v>
      </c>
      <c r="G28" t="s">
        <v>138</v>
      </c>
      <c r="H28">
        <v>5</v>
      </c>
    </row>
    <row r="29" spans="1:8" x14ac:dyDescent="0.25">
      <c r="A29" t="s">
        <v>94</v>
      </c>
      <c r="B29">
        <f>COUNTIF(Sheet1!$F$22:$AF$41,allcase!A29)</f>
        <v>0</v>
      </c>
      <c r="D29" t="s">
        <v>160</v>
      </c>
      <c r="E29">
        <v>5</v>
      </c>
      <c r="G29" t="s">
        <v>160</v>
      </c>
      <c r="H29">
        <v>5</v>
      </c>
    </row>
    <row r="30" spans="1:8" x14ac:dyDescent="0.25">
      <c r="A30" t="s">
        <v>95</v>
      </c>
      <c r="B30">
        <f>COUNTIF(Sheet1!$F$22:$AF$41,allcase!A30)</f>
        <v>0</v>
      </c>
      <c r="D30" t="s">
        <v>173</v>
      </c>
      <c r="E30">
        <v>5</v>
      </c>
      <c r="G30" t="s">
        <v>173</v>
      </c>
      <c r="H30">
        <v>5</v>
      </c>
    </row>
    <row r="31" spans="1:8" x14ac:dyDescent="0.25">
      <c r="A31" t="s">
        <v>96</v>
      </c>
      <c r="B31">
        <f>COUNTIF(Sheet1!$F$22:$AF$41,allcase!A31)</f>
        <v>0</v>
      </c>
      <c r="D31" t="s">
        <v>223</v>
      </c>
      <c r="E31">
        <v>5</v>
      </c>
      <c r="G31" t="s">
        <v>223</v>
      </c>
      <c r="H31">
        <v>5</v>
      </c>
    </row>
    <row r="32" spans="1:8" x14ac:dyDescent="0.25">
      <c r="A32" t="s">
        <v>97</v>
      </c>
      <c r="B32">
        <f>COUNTIF(Sheet1!$F$22:$AF$41,allcase!A32)</f>
        <v>0</v>
      </c>
      <c r="D32" t="s">
        <v>241</v>
      </c>
      <c r="E32">
        <v>5</v>
      </c>
      <c r="G32" t="s">
        <v>241</v>
      </c>
      <c r="H32">
        <v>5</v>
      </c>
    </row>
    <row r="33" spans="1:8" x14ac:dyDescent="0.25">
      <c r="A33" t="s">
        <v>98</v>
      </c>
      <c r="B33">
        <f>COUNTIF(Sheet1!$F$22:$AF$41,allcase!A33)</f>
        <v>0</v>
      </c>
      <c r="D33" t="s">
        <v>280</v>
      </c>
      <c r="E33">
        <v>5</v>
      </c>
      <c r="G33" t="s">
        <v>280</v>
      </c>
      <c r="H33">
        <v>5</v>
      </c>
    </row>
    <row r="34" spans="1:8" x14ac:dyDescent="0.25">
      <c r="A34" t="s">
        <v>99</v>
      </c>
      <c r="B34">
        <f>COUNTIF(Sheet1!$F$22:$AF$41,allcase!A34)</f>
        <v>0</v>
      </c>
      <c r="D34" t="s">
        <v>178</v>
      </c>
      <c r="E34">
        <v>4</v>
      </c>
      <c r="G34" t="s">
        <v>178</v>
      </c>
      <c r="H34">
        <v>4</v>
      </c>
    </row>
    <row r="35" spans="1:8" x14ac:dyDescent="0.25">
      <c r="A35" t="s">
        <v>100</v>
      </c>
      <c r="B35">
        <f>COUNTIF(Sheet1!$F$22:$AF$41,allcase!A35)</f>
        <v>0</v>
      </c>
      <c r="D35" t="s">
        <v>226</v>
      </c>
      <c r="E35">
        <v>4</v>
      </c>
      <c r="G35" t="s">
        <v>226</v>
      </c>
      <c r="H35">
        <v>4</v>
      </c>
    </row>
    <row r="36" spans="1:8" x14ac:dyDescent="0.25">
      <c r="A36" t="s">
        <v>101</v>
      </c>
      <c r="B36">
        <f>COUNTIF(Sheet1!$F$22:$AF$41,allcase!A36)</f>
        <v>0</v>
      </c>
      <c r="D36" t="s">
        <v>279</v>
      </c>
      <c r="E36">
        <v>4</v>
      </c>
      <c r="G36" t="s">
        <v>279</v>
      </c>
      <c r="H36">
        <v>4</v>
      </c>
    </row>
    <row r="37" spans="1:8" x14ac:dyDescent="0.25">
      <c r="A37" t="s">
        <v>102</v>
      </c>
      <c r="B37">
        <f>COUNTIF(Sheet1!$F$22:$AF$41,allcase!A37)</f>
        <v>0</v>
      </c>
      <c r="D37" t="s">
        <v>155</v>
      </c>
      <c r="E37">
        <v>3</v>
      </c>
      <c r="G37" t="s">
        <v>155</v>
      </c>
      <c r="H37">
        <v>3</v>
      </c>
    </row>
    <row r="38" spans="1:8" x14ac:dyDescent="0.25">
      <c r="A38" t="s">
        <v>103</v>
      </c>
      <c r="B38">
        <f>COUNTIF(Sheet1!$F$22:$AF$41,allcase!A38)</f>
        <v>0</v>
      </c>
      <c r="D38" t="s">
        <v>250</v>
      </c>
      <c r="E38">
        <v>3</v>
      </c>
      <c r="G38" t="s">
        <v>250</v>
      </c>
      <c r="H38">
        <v>3</v>
      </c>
    </row>
    <row r="39" spans="1:8" x14ac:dyDescent="0.25">
      <c r="A39" t="s">
        <v>104</v>
      </c>
      <c r="B39">
        <f>COUNTIF(Sheet1!$F$22:$AF$41,allcase!A39)</f>
        <v>0</v>
      </c>
      <c r="D39" t="s">
        <v>260</v>
      </c>
      <c r="E39">
        <v>3</v>
      </c>
      <c r="G39" t="s">
        <v>260</v>
      </c>
      <c r="H39">
        <v>3</v>
      </c>
    </row>
    <row r="40" spans="1:8" x14ac:dyDescent="0.25">
      <c r="A40" t="s">
        <v>105</v>
      </c>
      <c r="B40">
        <f>COUNTIF(Sheet1!$F$22:$AF$41,allcase!A40)</f>
        <v>0</v>
      </c>
      <c r="D40" t="s">
        <v>168</v>
      </c>
      <c r="E40">
        <v>2</v>
      </c>
      <c r="G40" t="s">
        <v>168</v>
      </c>
      <c r="H40">
        <v>2</v>
      </c>
    </row>
    <row r="41" spans="1:8" x14ac:dyDescent="0.25">
      <c r="A41" t="s">
        <v>106</v>
      </c>
      <c r="B41">
        <f>COUNTIF(Sheet1!$F$22:$AF$41,allcase!A41)</f>
        <v>0</v>
      </c>
      <c r="D41" t="s">
        <v>172</v>
      </c>
      <c r="E41">
        <v>2</v>
      </c>
      <c r="G41" t="s">
        <v>172</v>
      </c>
      <c r="H41">
        <v>2</v>
      </c>
    </row>
    <row r="42" spans="1:8" x14ac:dyDescent="0.25">
      <c r="A42" t="s">
        <v>107</v>
      </c>
      <c r="B42">
        <f>COUNTIF(Sheet1!$F$22:$AF$41,allcase!A42)</f>
        <v>0</v>
      </c>
      <c r="D42" t="s">
        <v>232</v>
      </c>
      <c r="E42">
        <v>2</v>
      </c>
      <c r="G42" t="s">
        <v>232</v>
      </c>
      <c r="H42">
        <v>2</v>
      </c>
    </row>
    <row r="43" spans="1:8" x14ac:dyDescent="0.25">
      <c r="A43" t="s">
        <v>108</v>
      </c>
      <c r="B43">
        <f>COUNTIF(Sheet1!$F$22:$AF$41,allcase!A43)</f>
        <v>0</v>
      </c>
      <c r="D43" t="s">
        <v>149</v>
      </c>
      <c r="E43">
        <v>1</v>
      </c>
      <c r="G43" t="s">
        <v>149</v>
      </c>
      <c r="H43">
        <v>1</v>
      </c>
    </row>
    <row r="44" spans="1:8" x14ac:dyDescent="0.25">
      <c r="A44" t="s">
        <v>109</v>
      </c>
      <c r="B44">
        <f>COUNTIF(Sheet1!$F$22:$AF$41,allcase!A44)</f>
        <v>0</v>
      </c>
      <c r="D44" t="s">
        <v>179</v>
      </c>
      <c r="E44">
        <v>1</v>
      </c>
      <c r="G44" t="s">
        <v>179</v>
      </c>
      <c r="H44">
        <v>1</v>
      </c>
    </row>
    <row r="45" spans="1:8" x14ac:dyDescent="0.25">
      <c r="A45" t="s">
        <v>110</v>
      </c>
      <c r="B45">
        <f>COUNTIF(Sheet1!$F$22:$AF$41,allcase!A45)</f>
        <v>0</v>
      </c>
      <c r="D45" t="s">
        <v>180</v>
      </c>
      <c r="E45">
        <v>1</v>
      </c>
      <c r="G45" t="s">
        <v>180</v>
      </c>
      <c r="H45">
        <v>1</v>
      </c>
    </row>
    <row r="46" spans="1:8" x14ac:dyDescent="0.25">
      <c r="A46" t="s">
        <v>111</v>
      </c>
      <c r="B46">
        <f>COUNTIF(Sheet1!$F$22:$AF$41,allcase!A46)</f>
        <v>0</v>
      </c>
      <c r="D46" t="s">
        <v>245</v>
      </c>
      <c r="E46">
        <v>1</v>
      </c>
      <c r="G46" t="s">
        <v>245</v>
      </c>
      <c r="H46">
        <v>1</v>
      </c>
    </row>
    <row r="47" spans="1:8" x14ac:dyDescent="0.25">
      <c r="A47" t="s">
        <v>112</v>
      </c>
      <c r="B47">
        <f>COUNTIF(Sheet1!$F$22:$AF$41,allcase!A47)</f>
        <v>0</v>
      </c>
      <c r="D47" t="s">
        <v>257</v>
      </c>
      <c r="E47">
        <v>1</v>
      </c>
      <c r="G47" t="s">
        <v>257</v>
      </c>
      <c r="H47">
        <v>1</v>
      </c>
    </row>
    <row r="48" spans="1:8" x14ac:dyDescent="0.25">
      <c r="A48" t="s">
        <v>113</v>
      </c>
      <c r="B48">
        <f>COUNTIF(Sheet1!$F$22:$AF$41,allcase!A48)</f>
        <v>0</v>
      </c>
      <c r="D48" t="s">
        <v>67</v>
      </c>
      <c r="E48">
        <v>0</v>
      </c>
    </row>
    <row r="49" spans="1:5" x14ac:dyDescent="0.25">
      <c r="A49" t="s">
        <v>114</v>
      </c>
      <c r="B49">
        <f>COUNTIF(Sheet1!$F$22:$AF$41,allcase!A49)</f>
        <v>0</v>
      </c>
      <c r="D49" t="s">
        <v>68</v>
      </c>
      <c r="E49">
        <v>0</v>
      </c>
    </row>
    <row r="50" spans="1:5" x14ac:dyDescent="0.25">
      <c r="A50" t="s">
        <v>115</v>
      </c>
      <c r="B50">
        <f>COUNTIF(Sheet1!$F$22:$AF$41,allcase!A50)</f>
        <v>0</v>
      </c>
      <c r="D50" t="s">
        <v>69</v>
      </c>
      <c r="E50">
        <v>0</v>
      </c>
    </row>
    <row r="51" spans="1:5" x14ac:dyDescent="0.25">
      <c r="A51" t="s">
        <v>116</v>
      </c>
      <c r="B51">
        <f>COUNTIF(Sheet1!$F$22:$AF$41,allcase!A51)</f>
        <v>0</v>
      </c>
      <c r="D51" t="s">
        <v>70</v>
      </c>
      <c r="E51">
        <v>0</v>
      </c>
    </row>
    <row r="52" spans="1:5" x14ac:dyDescent="0.25">
      <c r="A52" t="s">
        <v>117</v>
      </c>
      <c r="B52">
        <f>COUNTIF(Sheet1!$F$22:$AF$41,allcase!A52)</f>
        <v>0</v>
      </c>
      <c r="D52" t="s">
        <v>71</v>
      </c>
      <c r="E52">
        <v>0</v>
      </c>
    </row>
    <row r="53" spans="1:5" x14ac:dyDescent="0.25">
      <c r="A53" t="s">
        <v>118</v>
      </c>
      <c r="B53">
        <f>COUNTIF(Sheet1!$F$22:$AF$41,allcase!A53)</f>
        <v>0</v>
      </c>
      <c r="D53" t="s">
        <v>72</v>
      </c>
      <c r="E53">
        <v>0</v>
      </c>
    </row>
    <row r="54" spans="1:5" x14ac:dyDescent="0.25">
      <c r="A54" t="s">
        <v>119</v>
      </c>
      <c r="B54">
        <f>COUNTIF(Sheet1!$F$22:$AF$41,allcase!A54)</f>
        <v>0</v>
      </c>
      <c r="D54" t="s">
        <v>73</v>
      </c>
      <c r="E54">
        <v>0</v>
      </c>
    </row>
    <row r="55" spans="1:5" x14ac:dyDescent="0.25">
      <c r="A55" t="s">
        <v>120</v>
      </c>
      <c r="B55">
        <f>COUNTIF(Sheet1!$F$22:$AF$41,allcase!A55)</f>
        <v>0</v>
      </c>
      <c r="D55" t="s">
        <v>74</v>
      </c>
      <c r="E55">
        <v>0</v>
      </c>
    </row>
    <row r="56" spans="1:5" x14ac:dyDescent="0.25">
      <c r="A56" t="s">
        <v>121</v>
      </c>
      <c r="B56">
        <f>COUNTIF(Sheet1!$F$22:$AF$41,allcase!A56)</f>
        <v>0</v>
      </c>
      <c r="D56" t="s">
        <v>75</v>
      </c>
      <c r="E56">
        <v>0</v>
      </c>
    </row>
    <row r="57" spans="1:5" x14ac:dyDescent="0.25">
      <c r="A57" t="s">
        <v>122</v>
      </c>
      <c r="B57">
        <f>COUNTIF(Sheet1!$F$22:$AF$41,allcase!A57)</f>
        <v>0</v>
      </c>
      <c r="D57" t="s">
        <v>76</v>
      </c>
      <c r="E57">
        <v>0</v>
      </c>
    </row>
    <row r="58" spans="1:5" x14ac:dyDescent="0.25">
      <c r="A58" t="s">
        <v>123</v>
      </c>
      <c r="B58">
        <f>COUNTIF(Sheet1!$F$22:$AF$41,allcase!A58)</f>
        <v>0</v>
      </c>
      <c r="D58" t="s">
        <v>77</v>
      </c>
      <c r="E58">
        <v>0</v>
      </c>
    </row>
    <row r="59" spans="1:5" x14ac:dyDescent="0.25">
      <c r="A59" t="s">
        <v>124</v>
      </c>
      <c r="B59">
        <f>COUNTIF(Sheet1!$F$22:$AF$41,allcase!A59)</f>
        <v>0</v>
      </c>
      <c r="D59" t="s">
        <v>78</v>
      </c>
      <c r="E59">
        <v>0</v>
      </c>
    </row>
    <row r="60" spans="1:5" x14ac:dyDescent="0.25">
      <c r="A60" t="s">
        <v>125</v>
      </c>
      <c r="B60">
        <f>COUNTIF(Sheet1!$F$22:$AF$41,allcase!A60)</f>
        <v>0</v>
      </c>
      <c r="D60" t="s">
        <v>79</v>
      </c>
      <c r="E60">
        <v>0</v>
      </c>
    </row>
    <row r="61" spans="1:5" x14ac:dyDescent="0.25">
      <c r="A61" t="s">
        <v>126</v>
      </c>
      <c r="B61">
        <f>COUNTIF(Sheet1!$F$22:$AF$41,allcase!A61)</f>
        <v>0</v>
      </c>
      <c r="D61" t="s">
        <v>80</v>
      </c>
      <c r="E61">
        <v>0</v>
      </c>
    </row>
    <row r="62" spans="1:5" x14ac:dyDescent="0.25">
      <c r="A62" t="s">
        <v>127</v>
      </c>
      <c r="B62">
        <f>COUNTIF(Sheet1!$F$22:$AF$41,allcase!A62)</f>
        <v>0</v>
      </c>
      <c r="D62" t="s">
        <v>81</v>
      </c>
      <c r="E62">
        <v>0</v>
      </c>
    </row>
    <row r="63" spans="1:5" x14ac:dyDescent="0.25">
      <c r="A63" t="s">
        <v>128</v>
      </c>
      <c r="B63">
        <f>COUNTIF(Sheet1!$F$22:$AF$41,allcase!A63)</f>
        <v>0</v>
      </c>
      <c r="D63" t="s">
        <v>82</v>
      </c>
      <c r="E63">
        <v>0</v>
      </c>
    </row>
    <row r="64" spans="1:5" x14ac:dyDescent="0.25">
      <c r="A64" t="s">
        <v>129</v>
      </c>
      <c r="B64">
        <f>COUNTIF(Sheet1!$F$22:$AF$41,allcase!A64)</f>
        <v>0</v>
      </c>
      <c r="D64" t="s">
        <v>83</v>
      </c>
      <c r="E64">
        <v>0</v>
      </c>
    </row>
    <row r="65" spans="1:5" x14ac:dyDescent="0.25">
      <c r="A65" t="s">
        <v>130</v>
      </c>
      <c r="B65">
        <f>COUNTIF(Sheet1!$F$22:$AF$41,allcase!A65)</f>
        <v>0</v>
      </c>
      <c r="D65" t="s">
        <v>84</v>
      </c>
      <c r="E65">
        <v>0</v>
      </c>
    </row>
    <row r="66" spans="1:5" x14ac:dyDescent="0.25">
      <c r="A66" t="s">
        <v>131</v>
      </c>
      <c r="B66">
        <f>COUNTIF(Sheet1!$F$22:$AF$41,allcase!A66)</f>
        <v>0</v>
      </c>
      <c r="D66" t="s">
        <v>85</v>
      </c>
      <c r="E66">
        <v>0</v>
      </c>
    </row>
    <row r="67" spans="1:5" x14ac:dyDescent="0.25">
      <c r="A67" t="s">
        <v>132</v>
      </c>
      <c r="B67">
        <f>COUNTIF(Sheet1!$F$22:$AF$41,allcase!A67)</f>
        <v>0</v>
      </c>
      <c r="D67" t="s">
        <v>86</v>
      </c>
      <c r="E67">
        <v>0</v>
      </c>
    </row>
    <row r="68" spans="1:5" x14ac:dyDescent="0.25">
      <c r="A68" t="s">
        <v>133</v>
      </c>
      <c r="B68">
        <f>COUNTIF(Sheet1!$F$22:$AF$41,allcase!A68)</f>
        <v>0</v>
      </c>
      <c r="D68" t="s">
        <v>87</v>
      </c>
      <c r="E68">
        <v>0</v>
      </c>
    </row>
    <row r="69" spans="1:5" x14ac:dyDescent="0.25">
      <c r="A69" t="s">
        <v>134</v>
      </c>
      <c r="B69">
        <f>COUNTIF(Sheet1!$F$22:$AF$41,allcase!A69)</f>
        <v>0</v>
      </c>
      <c r="D69" t="s">
        <v>88</v>
      </c>
      <c r="E69">
        <v>0</v>
      </c>
    </row>
    <row r="70" spans="1:5" x14ac:dyDescent="0.25">
      <c r="A70" t="s">
        <v>135</v>
      </c>
      <c r="B70">
        <f>COUNTIF(Sheet1!$F$22:$AF$41,allcase!A70)</f>
        <v>0</v>
      </c>
      <c r="D70" t="s">
        <v>89</v>
      </c>
      <c r="E70">
        <v>0</v>
      </c>
    </row>
    <row r="71" spans="1:5" x14ac:dyDescent="0.25">
      <c r="A71" t="s">
        <v>136</v>
      </c>
      <c r="B71">
        <f>COUNTIF(Sheet1!$F$22:$AF$41,allcase!A71)</f>
        <v>0</v>
      </c>
      <c r="D71" t="s">
        <v>90</v>
      </c>
      <c r="E71">
        <v>0</v>
      </c>
    </row>
    <row r="72" spans="1:5" x14ac:dyDescent="0.25">
      <c r="A72" t="s">
        <v>137</v>
      </c>
      <c r="B72">
        <f>COUNTIF(Sheet1!$F$22:$AF$41,allcase!A72)</f>
        <v>0</v>
      </c>
      <c r="D72" t="s">
        <v>91</v>
      </c>
      <c r="E72">
        <v>0</v>
      </c>
    </row>
    <row r="73" spans="1:5" x14ac:dyDescent="0.25">
      <c r="A73" t="s">
        <v>138</v>
      </c>
      <c r="B73">
        <f>COUNTIF(Sheet1!$F$22:$AF$41,allcase!A73)</f>
        <v>5</v>
      </c>
      <c r="D73" t="s">
        <v>92</v>
      </c>
      <c r="E73">
        <v>0</v>
      </c>
    </row>
    <row r="74" spans="1:5" x14ac:dyDescent="0.25">
      <c r="A74" t="s">
        <v>139</v>
      </c>
      <c r="B74">
        <f>COUNTIF(Sheet1!$F$22:$AF$41,allcase!A74)</f>
        <v>0</v>
      </c>
      <c r="D74" t="s">
        <v>93</v>
      </c>
      <c r="E74">
        <v>0</v>
      </c>
    </row>
    <row r="75" spans="1:5" x14ac:dyDescent="0.25">
      <c r="A75" t="s">
        <v>140</v>
      </c>
      <c r="B75">
        <f>COUNTIF(Sheet1!$F$22:$AF$41,allcase!A75)</f>
        <v>6</v>
      </c>
      <c r="D75" t="s">
        <v>94</v>
      </c>
      <c r="E75">
        <v>0</v>
      </c>
    </row>
    <row r="76" spans="1:5" x14ac:dyDescent="0.25">
      <c r="A76" t="s">
        <v>141</v>
      </c>
      <c r="B76">
        <f>COUNTIF(Sheet1!$F$22:$AF$41,allcase!A76)</f>
        <v>0</v>
      </c>
      <c r="D76" t="s">
        <v>95</v>
      </c>
      <c r="E76">
        <v>0</v>
      </c>
    </row>
    <row r="77" spans="1:5" x14ac:dyDescent="0.25">
      <c r="A77" t="s">
        <v>142</v>
      </c>
      <c r="B77">
        <f>COUNTIF(Sheet1!$F$22:$AF$41,allcase!A77)</f>
        <v>0</v>
      </c>
      <c r="D77" t="s">
        <v>96</v>
      </c>
      <c r="E77">
        <v>0</v>
      </c>
    </row>
    <row r="78" spans="1:5" x14ac:dyDescent="0.25">
      <c r="A78" t="s">
        <v>143</v>
      </c>
      <c r="B78">
        <f>COUNTIF(Sheet1!$F$22:$AF$41,allcase!A78)</f>
        <v>10</v>
      </c>
      <c r="D78" t="s">
        <v>97</v>
      </c>
      <c r="E78">
        <v>0</v>
      </c>
    </row>
    <row r="79" spans="1:5" x14ac:dyDescent="0.25">
      <c r="A79" t="s">
        <v>144</v>
      </c>
      <c r="B79">
        <f>COUNTIF(Sheet1!$F$22:$AF$41,allcase!A79)</f>
        <v>0</v>
      </c>
      <c r="D79" t="s">
        <v>98</v>
      </c>
      <c r="E79">
        <v>0</v>
      </c>
    </row>
    <row r="80" spans="1:5" x14ac:dyDescent="0.25">
      <c r="A80" t="s">
        <v>145</v>
      </c>
      <c r="B80">
        <f>COUNTIF(Sheet1!$F$22:$AF$41,allcase!A80)</f>
        <v>0</v>
      </c>
      <c r="D80" t="s">
        <v>99</v>
      </c>
      <c r="E80">
        <v>0</v>
      </c>
    </row>
    <row r="81" spans="1:5" x14ac:dyDescent="0.25">
      <c r="A81" t="s">
        <v>146</v>
      </c>
      <c r="B81">
        <f>COUNTIF(Sheet1!$F$22:$AF$41,allcase!A81)</f>
        <v>0</v>
      </c>
      <c r="D81" t="s">
        <v>100</v>
      </c>
      <c r="E81">
        <v>0</v>
      </c>
    </row>
    <row r="82" spans="1:5" x14ac:dyDescent="0.25">
      <c r="A82" t="s">
        <v>147</v>
      </c>
      <c r="B82">
        <f>COUNTIF(Sheet1!$F$22:$AF$41,allcase!A82)</f>
        <v>0</v>
      </c>
      <c r="D82" t="s">
        <v>101</v>
      </c>
      <c r="E82">
        <v>0</v>
      </c>
    </row>
    <row r="83" spans="1:5" x14ac:dyDescent="0.25">
      <c r="A83" t="s">
        <v>148</v>
      </c>
      <c r="B83">
        <f>COUNTIF(Sheet1!$F$22:$AF$41,allcase!A83)</f>
        <v>0</v>
      </c>
      <c r="D83" t="s">
        <v>102</v>
      </c>
      <c r="E83">
        <v>0</v>
      </c>
    </row>
    <row r="84" spans="1:5" x14ac:dyDescent="0.25">
      <c r="A84" t="s">
        <v>149</v>
      </c>
      <c r="B84">
        <f>COUNTIF(Sheet1!$F$22:$AF$41,allcase!A84)</f>
        <v>1</v>
      </c>
      <c r="D84" t="s">
        <v>103</v>
      </c>
      <c r="E84">
        <v>0</v>
      </c>
    </row>
    <row r="85" spans="1:5" x14ac:dyDescent="0.25">
      <c r="A85" t="s">
        <v>150</v>
      </c>
      <c r="B85">
        <f>COUNTIF(Sheet1!$F$22:$AF$41,allcase!A85)</f>
        <v>0</v>
      </c>
      <c r="D85" t="s">
        <v>104</v>
      </c>
      <c r="E85">
        <v>0</v>
      </c>
    </row>
    <row r="86" spans="1:5" x14ac:dyDescent="0.25">
      <c r="A86" t="s">
        <v>151</v>
      </c>
      <c r="B86">
        <f>COUNTIF(Sheet1!$F$22:$AF$41,allcase!A86)</f>
        <v>0</v>
      </c>
      <c r="D86" t="s">
        <v>105</v>
      </c>
      <c r="E86">
        <v>0</v>
      </c>
    </row>
    <row r="87" spans="1:5" x14ac:dyDescent="0.25">
      <c r="A87" t="s">
        <v>152</v>
      </c>
      <c r="B87">
        <f>COUNTIF(Sheet1!$F$22:$AF$41,allcase!A87)</f>
        <v>0</v>
      </c>
      <c r="D87" t="s">
        <v>106</v>
      </c>
      <c r="E87">
        <v>0</v>
      </c>
    </row>
    <row r="88" spans="1:5" x14ac:dyDescent="0.25">
      <c r="A88" t="s">
        <v>153</v>
      </c>
      <c r="B88">
        <f>COUNTIF(Sheet1!$F$22:$AF$41,allcase!A88)</f>
        <v>0</v>
      </c>
      <c r="D88" t="s">
        <v>107</v>
      </c>
      <c r="E88">
        <v>0</v>
      </c>
    </row>
    <row r="89" spans="1:5" x14ac:dyDescent="0.25">
      <c r="A89" t="s">
        <v>154</v>
      </c>
      <c r="B89">
        <f>COUNTIF(Sheet1!$F$22:$AF$41,allcase!A89)</f>
        <v>0</v>
      </c>
      <c r="D89" t="s">
        <v>108</v>
      </c>
      <c r="E89">
        <v>0</v>
      </c>
    </row>
    <row r="90" spans="1:5" x14ac:dyDescent="0.25">
      <c r="A90" t="s">
        <v>155</v>
      </c>
      <c r="B90">
        <f>COUNTIF(Sheet1!$F$22:$AF$41,allcase!A90)</f>
        <v>3</v>
      </c>
      <c r="D90" t="s">
        <v>109</v>
      </c>
      <c r="E90">
        <v>0</v>
      </c>
    </row>
    <row r="91" spans="1:5" x14ac:dyDescent="0.25">
      <c r="A91" t="s">
        <v>156</v>
      </c>
      <c r="B91">
        <f>COUNTIF(Sheet1!$F$22:$AF$41,allcase!A91)</f>
        <v>8</v>
      </c>
      <c r="D91" t="s">
        <v>110</v>
      </c>
      <c r="E91">
        <v>0</v>
      </c>
    </row>
    <row r="92" spans="1:5" x14ac:dyDescent="0.25">
      <c r="A92" t="s">
        <v>157</v>
      </c>
      <c r="B92">
        <f>COUNTIF(Sheet1!$F$22:$AF$41,allcase!A92)</f>
        <v>0</v>
      </c>
      <c r="D92" t="s">
        <v>111</v>
      </c>
      <c r="E92">
        <v>0</v>
      </c>
    </row>
    <row r="93" spans="1:5" x14ac:dyDescent="0.25">
      <c r="A93" t="s">
        <v>158</v>
      </c>
      <c r="B93">
        <f>COUNTIF(Sheet1!$F$22:$AF$41,allcase!A93)</f>
        <v>10</v>
      </c>
      <c r="D93" t="s">
        <v>112</v>
      </c>
      <c r="E93">
        <v>0</v>
      </c>
    </row>
    <row r="94" spans="1:5" x14ac:dyDescent="0.25">
      <c r="A94" t="s">
        <v>159</v>
      </c>
      <c r="B94">
        <f>COUNTIF(Sheet1!$F$22:$AF$41,allcase!A94)</f>
        <v>0</v>
      </c>
      <c r="D94" t="s">
        <v>113</v>
      </c>
      <c r="E94">
        <v>0</v>
      </c>
    </row>
    <row r="95" spans="1:5" x14ac:dyDescent="0.25">
      <c r="A95" t="s">
        <v>160</v>
      </c>
      <c r="B95">
        <f>COUNTIF(Sheet1!$F$22:$AF$41,allcase!A95)</f>
        <v>5</v>
      </c>
      <c r="D95" t="s">
        <v>114</v>
      </c>
      <c r="E95">
        <v>0</v>
      </c>
    </row>
    <row r="96" spans="1:5" x14ac:dyDescent="0.25">
      <c r="A96" t="s">
        <v>161</v>
      </c>
      <c r="B96">
        <f>COUNTIF(Sheet1!$F$22:$AF$41,allcase!A96)</f>
        <v>10</v>
      </c>
      <c r="D96" t="s">
        <v>115</v>
      </c>
      <c r="E96">
        <v>0</v>
      </c>
    </row>
    <row r="97" spans="1:5" x14ac:dyDescent="0.25">
      <c r="A97" t="s">
        <v>162</v>
      </c>
      <c r="B97">
        <f>COUNTIF(Sheet1!$F$22:$AF$41,allcase!A97)</f>
        <v>0</v>
      </c>
      <c r="D97" t="s">
        <v>116</v>
      </c>
      <c r="E97">
        <v>0</v>
      </c>
    </row>
    <row r="98" spans="1:5" x14ac:dyDescent="0.25">
      <c r="A98" t="s">
        <v>163</v>
      </c>
      <c r="B98">
        <f>COUNTIF(Sheet1!$F$22:$AF$41,allcase!A98)</f>
        <v>0</v>
      </c>
      <c r="D98" t="s">
        <v>117</v>
      </c>
      <c r="E98">
        <v>0</v>
      </c>
    </row>
    <row r="99" spans="1:5" x14ac:dyDescent="0.25">
      <c r="A99" t="s">
        <v>164</v>
      </c>
      <c r="B99">
        <f>COUNTIF(Sheet1!$F$22:$AF$41,allcase!A99)</f>
        <v>0</v>
      </c>
      <c r="D99" t="s">
        <v>118</v>
      </c>
      <c r="E99">
        <v>0</v>
      </c>
    </row>
    <row r="100" spans="1:5" x14ac:dyDescent="0.25">
      <c r="A100" t="s">
        <v>165</v>
      </c>
      <c r="B100">
        <f>COUNTIF(Sheet1!$F$22:$AF$41,allcase!A100)</f>
        <v>0</v>
      </c>
      <c r="D100" t="s">
        <v>119</v>
      </c>
      <c r="E100">
        <v>0</v>
      </c>
    </row>
    <row r="101" spans="1:5" x14ac:dyDescent="0.25">
      <c r="A101" t="s">
        <v>166</v>
      </c>
      <c r="B101">
        <f>COUNTIF(Sheet1!$F$22:$AF$41,allcase!A101)</f>
        <v>0</v>
      </c>
      <c r="D101" t="s">
        <v>120</v>
      </c>
      <c r="E101">
        <v>0</v>
      </c>
    </row>
    <row r="102" spans="1:5" x14ac:dyDescent="0.25">
      <c r="A102" t="s">
        <v>167</v>
      </c>
      <c r="B102">
        <f>COUNTIF(Sheet1!$F$22:$AF$41,allcase!A102)</f>
        <v>0</v>
      </c>
      <c r="D102" t="s">
        <v>121</v>
      </c>
      <c r="E102">
        <v>0</v>
      </c>
    </row>
    <row r="103" spans="1:5" x14ac:dyDescent="0.25">
      <c r="A103" t="s">
        <v>168</v>
      </c>
      <c r="B103">
        <f>COUNTIF(Sheet1!$F$22:$AF$41,allcase!A103)</f>
        <v>2</v>
      </c>
      <c r="D103" t="s">
        <v>122</v>
      </c>
      <c r="E103">
        <v>0</v>
      </c>
    </row>
    <row r="104" spans="1:5" x14ac:dyDescent="0.25">
      <c r="A104" t="s">
        <v>169</v>
      </c>
      <c r="B104">
        <f>COUNTIF(Sheet1!$F$22:$AF$41,allcase!A104)</f>
        <v>0</v>
      </c>
      <c r="D104" t="s">
        <v>123</v>
      </c>
      <c r="E104">
        <v>0</v>
      </c>
    </row>
    <row r="105" spans="1:5" x14ac:dyDescent="0.25">
      <c r="A105" t="s">
        <v>170</v>
      </c>
      <c r="B105">
        <f>COUNTIF(Sheet1!$F$22:$AF$41,allcase!A105)</f>
        <v>0</v>
      </c>
      <c r="D105" t="s">
        <v>124</v>
      </c>
      <c r="E105">
        <v>0</v>
      </c>
    </row>
    <row r="106" spans="1:5" x14ac:dyDescent="0.25">
      <c r="A106" t="s">
        <v>171</v>
      </c>
      <c r="B106">
        <f>COUNTIF(Sheet1!$F$22:$AF$41,allcase!A106)</f>
        <v>0</v>
      </c>
      <c r="D106" t="s">
        <v>125</v>
      </c>
      <c r="E106">
        <v>0</v>
      </c>
    </row>
    <row r="107" spans="1:5" x14ac:dyDescent="0.25">
      <c r="A107" t="s">
        <v>172</v>
      </c>
      <c r="B107">
        <f>COUNTIF(Sheet1!$F$22:$AF$41,allcase!A107)</f>
        <v>2</v>
      </c>
      <c r="D107" t="s">
        <v>126</v>
      </c>
      <c r="E107">
        <v>0</v>
      </c>
    </row>
    <row r="108" spans="1:5" x14ac:dyDescent="0.25">
      <c r="A108" t="s">
        <v>173</v>
      </c>
      <c r="B108">
        <f>COUNTIF(Sheet1!$F$22:$AF$41,allcase!A108)</f>
        <v>5</v>
      </c>
      <c r="D108" t="s">
        <v>127</v>
      </c>
      <c r="E108">
        <v>0</v>
      </c>
    </row>
    <row r="109" spans="1:5" x14ac:dyDescent="0.25">
      <c r="A109" t="s">
        <v>174</v>
      </c>
      <c r="B109">
        <f>COUNTIF(Sheet1!$F$22:$AF$41,allcase!A109)</f>
        <v>0</v>
      </c>
      <c r="D109" t="s">
        <v>128</v>
      </c>
      <c r="E109">
        <v>0</v>
      </c>
    </row>
    <row r="110" spans="1:5" x14ac:dyDescent="0.25">
      <c r="A110" t="s">
        <v>175</v>
      </c>
      <c r="B110">
        <f>COUNTIF(Sheet1!$F$22:$AF$41,allcase!A110)</f>
        <v>0</v>
      </c>
      <c r="D110" t="s">
        <v>129</v>
      </c>
      <c r="E110">
        <v>0</v>
      </c>
    </row>
    <row r="111" spans="1:5" x14ac:dyDescent="0.25">
      <c r="A111" t="s">
        <v>176</v>
      </c>
      <c r="B111">
        <f>COUNTIF(Sheet1!$F$22:$AF$41,allcase!A111)</f>
        <v>0</v>
      </c>
      <c r="D111" t="s">
        <v>130</v>
      </c>
      <c r="E111">
        <v>0</v>
      </c>
    </row>
    <row r="112" spans="1:5" x14ac:dyDescent="0.25">
      <c r="A112" t="s">
        <v>177</v>
      </c>
      <c r="B112">
        <f>COUNTIF(Sheet1!$F$22:$AF$41,allcase!A112)</f>
        <v>0</v>
      </c>
      <c r="D112" t="s">
        <v>131</v>
      </c>
      <c r="E112">
        <v>0</v>
      </c>
    </row>
    <row r="113" spans="1:5" x14ac:dyDescent="0.25">
      <c r="A113" t="s">
        <v>178</v>
      </c>
      <c r="B113">
        <f>COUNTIF(Sheet1!$F$22:$AF$41,allcase!A113)</f>
        <v>4</v>
      </c>
      <c r="D113" t="s">
        <v>132</v>
      </c>
      <c r="E113">
        <v>0</v>
      </c>
    </row>
    <row r="114" spans="1:5" x14ac:dyDescent="0.25">
      <c r="A114" t="s">
        <v>179</v>
      </c>
      <c r="B114">
        <f>COUNTIF(Sheet1!$F$22:$AF$41,allcase!A114)</f>
        <v>1</v>
      </c>
      <c r="D114" t="s">
        <v>133</v>
      </c>
      <c r="E114">
        <v>0</v>
      </c>
    </row>
    <row r="115" spans="1:5" x14ac:dyDescent="0.25">
      <c r="A115" t="s">
        <v>180</v>
      </c>
      <c r="B115">
        <f>COUNTIF(Sheet1!$F$22:$AF$41,allcase!A115)</f>
        <v>1</v>
      </c>
      <c r="D115" t="s">
        <v>134</v>
      </c>
      <c r="E115">
        <v>0</v>
      </c>
    </row>
    <row r="116" spans="1:5" x14ac:dyDescent="0.25">
      <c r="A116" t="s">
        <v>181</v>
      </c>
      <c r="B116">
        <f>COUNTIF(Sheet1!$F$22:$AF$41,allcase!A116)</f>
        <v>0</v>
      </c>
      <c r="D116" t="s">
        <v>135</v>
      </c>
      <c r="E116">
        <v>0</v>
      </c>
    </row>
    <row r="117" spans="1:5" x14ac:dyDescent="0.25">
      <c r="A117" t="s">
        <v>182</v>
      </c>
      <c r="B117">
        <f>COUNTIF(Sheet1!$F$22:$AF$41,allcase!A117)</f>
        <v>7</v>
      </c>
      <c r="D117" t="s">
        <v>136</v>
      </c>
      <c r="E117">
        <v>0</v>
      </c>
    </row>
    <row r="118" spans="1:5" x14ac:dyDescent="0.25">
      <c r="A118" t="s">
        <v>183</v>
      </c>
      <c r="B118">
        <f>COUNTIF(Sheet1!$F$22:$AF$41,allcase!A118)</f>
        <v>0</v>
      </c>
      <c r="D118" t="s">
        <v>137</v>
      </c>
      <c r="E118">
        <v>0</v>
      </c>
    </row>
    <row r="119" spans="1:5" x14ac:dyDescent="0.25">
      <c r="A119" t="s">
        <v>184</v>
      </c>
      <c r="B119">
        <f>COUNTIF(Sheet1!$F$22:$AF$41,allcase!A119)</f>
        <v>8</v>
      </c>
      <c r="D119" t="s">
        <v>139</v>
      </c>
      <c r="E119">
        <v>0</v>
      </c>
    </row>
    <row r="120" spans="1:5" x14ac:dyDescent="0.25">
      <c r="A120" t="s">
        <v>185</v>
      </c>
      <c r="B120">
        <f>COUNTIF(Sheet1!$F$22:$AF$41,allcase!A120)</f>
        <v>10</v>
      </c>
      <c r="D120" t="s">
        <v>141</v>
      </c>
      <c r="E120">
        <v>0</v>
      </c>
    </row>
    <row r="121" spans="1:5" x14ac:dyDescent="0.25">
      <c r="A121" t="s">
        <v>186</v>
      </c>
      <c r="B121">
        <f>COUNTIF(Sheet1!$F$22:$AF$41,allcase!A121)</f>
        <v>0</v>
      </c>
      <c r="D121" t="s">
        <v>142</v>
      </c>
      <c r="E121">
        <v>0</v>
      </c>
    </row>
    <row r="122" spans="1:5" x14ac:dyDescent="0.25">
      <c r="A122" t="s">
        <v>187</v>
      </c>
      <c r="B122">
        <f>COUNTIF(Sheet1!$F$22:$AF$41,allcase!A122)</f>
        <v>0</v>
      </c>
      <c r="D122" t="s">
        <v>144</v>
      </c>
      <c r="E122">
        <v>0</v>
      </c>
    </row>
    <row r="123" spans="1:5" x14ac:dyDescent="0.25">
      <c r="A123" t="s">
        <v>188</v>
      </c>
      <c r="B123">
        <f>COUNTIF(Sheet1!$F$22:$AF$41,allcase!A123)</f>
        <v>0</v>
      </c>
      <c r="D123" t="s">
        <v>145</v>
      </c>
      <c r="E123">
        <v>0</v>
      </c>
    </row>
    <row r="124" spans="1:5" x14ac:dyDescent="0.25">
      <c r="A124" t="s">
        <v>189</v>
      </c>
      <c r="B124">
        <f>COUNTIF(Sheet1!$F$22:$AF$41,allcase!A124)</f>
        <v>0</v>
      </c>
      <c r="D124" t="s">
        <v>146</v>
      </c>
      <c r="E124">
        <v>0</v>
      </c>
    </row>
    <row r="125" spans="1:5" x14ac:dyDescent="0.25">
      <c r="A125" t="s">
        <v>190</v>
      </c>
      <c r="B125">
        <f>COUNTIF(Sheet1!$F$22:$AF$41,allcase!A125)</f>
        <v>0</v>
      </c>
      <c r="D125" t="s">
        <v>147</v>
      </c>
      <c r="E125">
        <v>0</v>
      </c>
    </row>
    <row r="126" spans="1:5" x14ac:dyDescent="0.25">
      <c r="A126" t="s">
        <v>191</v>
      </c>
      <c r="B126">
        <f>COUNTIF(Sheet1!$F$22:$AF$41,allcase!A126)</f>
        <v>0</v>
      </c>
      <c r="D126" t="s">
        <v>148</v>
      </c>
      <c r="E126">
        <v>0</v>
      </c>
    </row>
    <row r="127" spans="1:5" x14ac:dyDescent="0.25">
      <c r="A127" t="s">
        <v>192</v>
      </c>
      <c r="B127">
        <f>COUNTIF(Sheet1!$F$22:$AF$41,allcase!A127)</f>
        <v>0</v>
      </c>
      <c r="D127" t="s">
        <v>150</v>
      </c>
      <c r="E127">
        <v>0</v>
      </c>
    </row>
    <row r="128" spans="1:5" x14ac:dyDescent="0.25">
      <c r="A128" t="s">
        <v>193</v>
      </c>
      <c r="B128">
        <f>COUNTIF(Sheet1!$F$22:$AF$41,allcase!A128)</f>
        <v>0</v>
      </c>
      <c r="D128" t="s">
        <v>151</v>
      </c>
      <c r="E128">
        <v>0</v>
      </c>
    </row>
    <row r="129" spans="1:5" x14ac:dyDescent="0.25">
      <c r="A129" t="s">
        <v>194</v>
      </c>
      <c r="B129">
        <f>COUNTIF(Sheet1!$F$22:$AF$41,allcase!A129)</f>
        <v>0</v>
      </c>
      <c r="D129" t="s">
        <v>152</v>
      </c>
      <c r="E129">
        <v>0</v>
      </c>
    </row>
    <row r="130" spans="1:5" x14ac:dyDescent="0.25">
      <c r="A130" t="s">
        <v>195</v>
      </c>
      <c r="B130">
        <f>COUNTIF(Sheet1!$F$22:$AF$41,allcase!A130)</f>
        <v>0</v>
      </c>
      <c r="D130" t="s">
        <v>153</v>
      </c>
      <c r="E130">
        <v>0</v>
      </c>
    </row>
    <row r="131" spans="1:5" x14ac:dyDescent="0.25">
      <c r="A131" t="s">
        <v>196</v>
      </c>
      <c r="B131">
        <f>COUNTIF(Sheet1!$F$22:$AF$41,allcase!A131)</f>
        <v>0</v>
      </c>
      <c r="D131" t="s">
        <v>154</v>
      </c>
      <c r="E131">
        <v>0</v>
      </c>
    </row>
    <row r="132" spans="1:5" x14ac:dyDescent="0.25">
      <c r="A132" t="s">
        <v>197</v>
      </c>
      <c r="B132">
        <f>COUNTIF(Sheet1!$F$22:$AF$41,allcase!A132)</f>
        <v>0</v>
      </c>
      <c r="D132" t="s">
        <v>157</v>
      </c>
      <c r="E132">
        <v>0</v>
      </c>
    </row>
    <row r="133" spans="1:5" x14ac:dyDescent="0.25">
      <c r="A133" t="s">
        <v>198</v>
      </c>
      <c r="B133">
        <f>COUNTIF(Sheet1!$F$22:$AF$41,allcase!A133)</f>
        <v>0</v>
      </c>
      <c r="D133" t="s">
        <v>159</v>
      </c>
      <c r="E133">
        <v>0</v>
      </c>
    </row>
    <row r="134" spans="1:5" x14ac:dyDescent="0.25">
      <c r="A134" t="s">
        <v>199</v>
      </c>
      <c r="B134">
        <f>COUNTIF(Sheet1!$F$22:$AF$41,allcase!A134)</f>
        <v>0</v>
      </c>
      <c r="D134" t="s">
        <v>162</v>
      </c>
      <c r="E134">
        <v>0</v>
      </c>
    </row>
    <row r="135" spans="1:5" x14ac:dyDescent="0.25">
      <c r="A135" t="s">
        <v>200</v>
      </c>
      <c r="B135">
        <f>COUNTIF(Sheet1!$F$22:$AF$41,allcase!A135)</f>
        <v>0</v>
      </c>
      <c r="D135" t="s">
        <v>163</v>
      </c>
      <c r="E135">
        <v>0</v>
      </c>
    </row>
    <row r="136" spans="1:5" x14ac:dyDescent="0.25">
      <c r="A136" t="s">
        <v>201</v>
      </c>
      <c r="B136">
        <f>COUNTIF(Sheet1!$F$22:$AF$41,allcase!A136)</f>
        <v>0</v>
      </c>
      <c r="D136" t="s">
        <v>164</v>
      </c>
      <c r="E136">
        <v>0</v>
      </c>
    </row>
    <row r="137" spans="1:5" x14ac:dyDescent="0.25">
      <c r="A137" t="s">
        <v>202</v>
      </c>
      <c r="B137">
        <f>COUNTIF(Sheet1!$F$22:$AF$41,allcase!A137)</f>
        <v>0</v>
      </c>
      <c r="D137" t="s">
        <v>165</v>
      </c>
      <c r="E137">
        <v>0</v>
      </c>
    </row>
    <row r="138" spans="1:5" x14ac:dyDescent="0.25">
      <c r="A138" t="s">
        <v>203</v>
      </c>
      <c r="B138">
        <f>COUNTIF(Sheet1!$F$22:$AF$41,allcase!A138)</f>
        <v>0</v>
      </c>
      <c r="D138" t="s">
        <v>166</v>
      </c>
      <c r="E138">
        <v>0</v>
      </c>
    </row>
    <row r="139" spans="1:5" x14ac:dyDescent="0.25">
      <c r="A139" t="s">
        <v>204</v>
      </c>
      <c r="B139">
        <f>COUNTIF(Sheet1!$F$22:$AF$41,allcase!A139)</f>
        <v>0</v>
      </c>
      <c r="D139" t="s">
        <v>167</v>
      </c>
      <c r="E139">
        <v>0</v>
      </c>
    </row>
    <row r="140" spans="1:5" x14ac:dyDescent="0.25">
      <c r="A140" t="s">
        <v>205</v>
      </c>
      <c r="B140">
        <f>COUNTIF(Sheet1!$F$22:$AF$41,allcase!A140)</f>
        <v>0</v>
      </c>
      <c r="D140" t="s">
        <v>169</v>
      </c>
      <c r="E140">
        <v>0</v>
      </c>
    </row>
    <row r="141" spans="1:5" x14ac:dyDescent="0.25">
      <c r="A141" t="s">
        <v>206</v>
      </c>
      <c r="B141">
        <f>COUNTIF(Sheet1!$F$22:$AF$41,allcase!A141)</f>
        <v>0</v>
      </c>
      <c r="D141" t="s">
        <v>170</v>
      </c>
      <c r="E141">
        <v>0</v>
      </c>
    </row>
    <row r="142" spans="1:5" x14ac:dyDescent="0.25">
      <c r="A142" t="s">
        <v>207</v>
      </c>
      <c r="B142">
        <f>COUNTIF(Sheet1!$F$22:$AF$41,allcase!A142)</f>
        <v>0</v>
      </c>
      <c r="D142" t="s">
        <v>171</v>
      </c>
      <c r="E142">
        <v>0</v>
      </c>
    </row>
    <row r="143" spans="1:5" x14ac:dyDescent="0.25">
      <c r="A143" t="s">
        <v>208</v>
      </c>
      <c r="B143">
        <f>COUNTIF(Sheet1!$F$22:$AF$41,allcase!A143)</f>
        <v>0</v>
      </c>
      <c r="D143" t="s">
        <v>174</v>
      </c>
      <c r="E143">
        <v>0</v>
      </c>
    </row>
    <row r="144" spans="1:5" x14ac:dyDescent="0.25">
      <c r="A144" t="s">
        <v>209</v>
      </c>
      <c r="B144">
        <f>COUNTIF(Sheet1!$F$22:$AF$41,allcase!A144)</f>
        <v>0</v>
      </c>
      <c r="D144" t="s">
        <v>175</v>
      </c>
      <c r="E144">
        <v>0</v>
      </c>
    </row>
    <row r="145" spans="1:5" x14ac:dyDescent="0.25">
      <c r="A145" t="s">
        <v>210</v>
      </c>
      <c r="B145">
        <f>COUNTIF(Sheet1!$F$22:$AF$41,allcase!A145)</f>
        <v>0</v>
      </c>
      <c r="D145" t="s">
        <v>176</v>
      </c>
      <c r="E145">
        <v>0</v>
      </c>
    </row>
    <row r="146" spans="1:5" x14ac:dyDescent="0.25">
      <c r="A146" t="s">
        <v>211</v>
      </c>
      <c r="B146">
        <f>COUNTIF(Sheet1!$F$22:$AF$41,allcase!A146)</f>
        <v>0</v>
      </c>
      <c r="D146" t="s">
        <v>177</v>
      </c>
      <c r="E146">
        <v>0</v>
      </c>
    </row>
    <row r="147" spans="1:5" x14ac:dyDescent="0.25">
      <c r="A147" t="s">
        <v>212</v>
      </c>
      <c r="B147">
        <f>COUNTIF(Sheet1!$F$22:$AF$41,allcase!A147)</f>
        <v>0</v>
      </c>
      <c r="D147" t="s">
        <v>181</v>
      </c>
      <c r="E147">
        <v>0</v>
      </c>
    </row>
    <row r="148" spans="1:5" x14ac:dyDescent="0.25">
      <c r="A148" t="s">
        <v>213</v>
      </c>
      <c r="B148">
        <f>COUNTIF(Sheet1!$F$22:$AF$41,allcase!A148)</f>
        <v>0</v>
      </c>
      <c r="D148" t="s">
        <v>183</v>
      </c>
      <c r="E148">
        <v>0</v>
      </c>
    </row>
    <row r="149" spans="1:5" x14ac:dyDescent="0.25">
      <c r="A149" t="s">
        <v>214</v>
      </c>
      <c r="B149">
        <f>COUNTIF(Sheet1!$F$22:$AF$41,allcase!A149)</f>
        <v>0</v>
      </c>
      <c r="D149" t="s">
        <v>186</v>
      </c>
      <c r="E149">
        <v>0</v>
      </c>
    </row>
    <row r="150" spans="1:5" x14ac:dyDescent="0.25">
      <c r="A150" t="s">
        <v>215</v>
      </c>
      <c r="B150">
        <f>COUNTIF(Sheet1!$F$22:$AF$41,allcase!A150)</f>
        <v>0</v>
      </c>
      <c r="D150" t="s">
        <v>187</v>
      </c>
      <c r="E150">
        <v>0</v>
      </c>
    </row>
    <row r="151" spans="1:5" x14ac:dyDescent="0.25">
      <c r="A151" t="s">
        <v>216</v>
      </c>
      <c r="B151">
        <f>COUNTIF(Sheet1!$F$22:$AF$41,allcase!A151)</f>
        <v>0</v>
      </c>
      <c r="D151" t="s">
        <v>188</v>
      </c>
      <c r="E151">
        <v>0</v>
      </c>
    </row>
    <row r="152" spans="1:5" x14ac:dyDescent="0.25">
      <c r="A152" t="s">
        <v>217</v>
      </c>
      <c r="B152">
        <f>COUNTIF(Sheet1!$F$22:$AF$41,allcase!A152)</f>
        <v>0</v>
      </c>
      <c r="D152" t="s">
        <v>189</v>
      </c>
      <c r="E152">
        <v>0</v>
      </c>
    </row>
    <row r="153" spans="1:5" x14ac:dyDescent="0.25">
      <c r="A153" t="s">
        <v>218</v>
      </c>
      <c r="B153">
        <f>COUNTIF(Sheet1!$F$22:$AF$41,allcase!A153)</f>
        <v>0</v>
      </c>
      <c r="D153" t="s">
        <v>190</v>
      </c>
      <c r="E153">
        <v>0</v>
      </c>
    </row>
    <row r="154" spans="1:5" x14ac:dyDescent="0.25">
      <c r="A154" t="s">
        <v>219</v>
      </c>
      <c r="B154">
        <f>COUNTIF(Sheet1!$F$22:$AF$41,allcase!A154)</f>
        <v>0</v>
      </c>
      <c r="D154" t="s">
        <v>191</v>
      </c>
      <c r="E154">
        <v>0</v>
      </c>
    </row>
    <row r="155" spans="1:5" x14ac:dyDescent="0.25">
      <c r="A155" t="s">
        <v>220</v>
      </c>
      <c r="B155">
        <f>COUNTIF(Sheet1!$F$22:$AF$41,allcase!A155)</f>
        <v>0</v>
      </c>
      <c r="D155" t="s">
        <v>192</v>
      </c>
      <c r="E155">
        <v>0</v>
      </c>
    </row>
    <row r="156" spans="1:5" x14ac:dyDescent="0.25">
      <c r="A156" t="s">
        <v>221</v>
      </c>
      <c r="B156">
        <f>COUNTIF(Sheet1!$F$22:$AF$41,allcase!A156)</f>
        <v>0</v>
      </c>
      <c r="D156" t="s">
        <v>193</v>
      </c>
      <c r="E156">
        <v>0</v>
      </c>
    </row>
    <row r="157" spans="1:5" x14ac:dyDescent="0.25">
      <c r="A157" t="s">
        <v>222</v>
      </c>
      <c r="B157">
        <f>COUNTIF(Sheet1!$F$22:$AF$41,allcase!A157)</f>
        <v>0</v>
      </c>
      <c r="D157" t="s">
        <v>194</v>
      </c>
      <c r="E157">
        <v>0</v>
      </c>
    </row>
    <row r="158" spans="1:5" x14ac:dyDescent="0.25">
      <c r="A158" t="s">
        <v>223</v>
      </c>
      <c r="B158">
        <f>COUNTIF(Sheet1!$F$22:$AF$41,allcase!A158)</f>
        <v>5</v>
      </c>
      <c r="D158" t="s">
        <v>195</v>
      </c>
      <c r="E158">
        <v>0</v>
      </c>
    </row>
    <row r="159" spans="1:5" x14ac:dyDescent="0.25">
      <c r="A159" t="s">
        <v>224</v>
      </c>
      <c r="B159">
        <f>COUNTIF(Sheet1!$F$22:$AF$41,allcase!A159)</f>
        <v>0</v>
      </c>
      <c r="D159" t="s">
        <v>196</v>
      </c>
      <c r="E159">
        <v>0</v>
      </c>
    </row>
    <row r="160" spans="1:5" x14ac:dyDescent="0.25">
      <c r="A160" t="s">
        <v>225</v>
      </c>
      <c r="B160">
        <f>COUNTIF(Sheet1!$F$22:$AF$41,allcase!A160)</f>
        <v>0</v>
      </c>
      <c r="D160" t="s">
        <v>197</v>
      </c>
      <c r="E160">
        <v>0</v>
      </c>
    </row>
    <row r="161" spans="1:5" x14ac:dyDescent="0.25">
      <c r="A161" t="s">
        <v>226</v>
      </c>
      <c r="B161">
        <f>COUNTIF(Sheet1!$F$22:$AF$41,allcase!A161)</f>
        <v>4</v>
      </c>
      <c r="D161" t="s">
        <v>198</v>
      </c>
      <c r="E161">
        <v>0</v>
      </c>
    </row>
    <row r="162" spans="1:5" x14ac:dyDescent="0.25">
      <c r="A162" t="s">
        <v>227</v>
      </c>
      <c r="B162">
        <f>COUNTIF(Sheet1!$F$22:$AF$41,allcase!A162)</f>
        <v>0</v>
      </c>
      <c r="D162" t="s">
        <v>199</v>
      </c>
      <c r="E162">
        <v>0</v>
      </c>
    </row>
    <row r="163" spans="1:5" x14ac:dyDescent="0.25">
      <c r="A163" t="s">
        <v>228</v>
      </c>
      <c r="B163">
        <f>COUNTIF(Sheet1!$F$22:$AF$41,allcase!A163)</f>
        <v>0</v>
      </c>
      <c r="D163" t="s">
        <v>200</v>
      </c>
      <c r="E163">
        <v>0</v>
      </c>
    </row>
    <row r="164" spans="1:5" x14ac:dyDescent="0.25">
      <c r="A164" t="s">
        <v>229</v>
      </c>
      <c r="B164">
        <f>COUNTIF(Sheet1!$F$22:$AF$41,allcase!A164)</f>
        <v>7</v>
      </c>
      <c r="D164" t="s">
        <v>201</v>
      </c>
      <c r="E164">
        <v>0</v>
      </c>
    </row>
    <row r="165" spans="1:5" x14ac:dyDescent="0.25">
      <c r="A165" t="s">
        <v>230</v>
      </c>
      <c r="B165">
        <f>COUNTIF(Sheet1!$F$22:$AF$41,allcase!A165)</f>
        <v>0</v>
      </c>
      <c r="D165" t="s">
        <v>202</v>
      </c>
      <c r="E165">
        <v>0</v>
      </c>
    </row>
    <row r="166" spans="1:5" x14ac:dyDescent="0.25">
      <c r="A166" t="s">
        <v>231</v>
      </c>
      <c r="B166">
        <f>COUNTIF(Sheet1!$F$22:$AF$41,allcase!A166)</f>
        <v>0</v>
      </c>
      <c r="D166" t="s">
        <v>203</v>
      </c>
      <c r="E166">
        <v>0</v>
      </c>
    </row>
    <row r="167" spans="1:5" x14ac:dyDescent="0.25">
      <c r="A167" t="s">
        <v>232</v>
      </c>
      <c r="B167">
        <f>COUNTIF(Sheet1!$F$22:$AF$41,allcase!A167)</f>
        <v>2</v>
      </c>
      <c r="D167" t="s">
        <v>204</v>
      </c>
      <c r="E167">
        <v>0</v>
      </c>
    </row>
    <row r="168" spans="1:5" x14ac:dyDescent="0.25">
      <c r="A168" t="s">
        <v>233</v>
      </c>
      <c r="B168">
        <f>COUNTIF(Sheet1!$F$22:$AF$41,allcase!A168)</f>
        <v>0</v>
      </c>
      <c r="D168" t="s">
        <v>205</v>
      </c>
      <c r="E168">
        <v>0</v>
      </c>
    </row>
    <row r="169" spans="1:5" x14ac:dyDescent="0.25">
      <c r="A169" t="s">
        <v>234</v>
      </c>
      <c r="B169">
        <f>COUNTIF(Sheet1!$F$22:$AF$41,allcase!A169)</f>
        <v>0</v>
      </c>
      <c r="D169" t="s">
        <v>206</v>
      </c>
      <c r="E169">
        <v>0</v>
      </c>
    </row>
    <row r="170" spans="1:5" x14ac:dyDescent="0.25">
      <c r="A170" t="s">
        <v>235</v>
      </c>
      <c r="B170">
        <f>COUNTIF(Sheet1!$F$22:$AF$41,allcase!A170)</f>
        <v>0</v>
      </c>
      <c r="D170" t="s">
        <v>207</v>
      </c>
      <c r="E170">
        <v>0</v>
      </c>
    </row>
    <row r="171" spans="1:5" x14ac:dyDescent="0.25">
      <c r="A171" t="s">
        <v>236</v>
      </c>
      <c r="B171">
        <f>COUNTIF(Sheet1!$F$22:$AF$41,allcase!A171)</f>
        <v>0</v>
      </c>
      <c r="D171" t="s">
        <v>208</v>
      </c>
      <c r="E171">
        <v>0</v>
      </c>
    </row>
    <row r="172" spans="1:5" x14ac:dyDescent="0.25">
      <c r="A172" t="s">
        <v>237</v>
      </c>
      <c r="B172">
        <f>COUNTIF(Sheet1!$F$22:$AF$41,allcase!A172)</f>
        <v>0</v>
      </c>
      <c r="D172" t="s">
        <v>209</v>
      </c>
      <c r="E172">
        <v>0</v>
      </c>
    </row>
    <row r="173" spans="1:5" x14ac:dyDescent="0.25">
      <c r="A173" t="s">
        <v>238</v>
      </c>
      <c r="B173">
        <f>COUNTIF(Sheet1!$F$22:$AF$41,allcase!A173)</f>
        <v>10</v>
      </c>
      <c r="D173" t="s">
        <v>210</v>
      </c>
      <c r="E173">
        <v>0</v>
      </c>
    </row>
    <row r="174" spans="1:5" x14ac:dyDescent="0.25">
      <c r="A174" t="s">
        <v>239</v>
      </c>
      <c r="B174">
        <f>COUNTIF(Sheet1!$F$22:$AF$41,allcase!A174)</f>
        <v>0</v>
      </c>
      <c r="D174" t="s">
        <v>211</v>
      </c>
      <c r="E174">
        <v>0</v>
      </c>
    </row>
    <row r="175" spans="1:5" x14ac:dyDescent="0.25">
      <c r="A175" t="s">
        <v>240</v>
      </c>
      <c r="B175">
        <f>COUNTIF(Sheet1!$F$22:$AF$41,allcase!A175)</f>
        <v>0</v>
      </c>
      <c r="D175" t="s">
        <v>212</v>
      </c>
      <c r="E175">
        <v>0</v>
      </c>
    </row>
    <row r="176" spans="1:5" x14ac:dyDescent="0.25">
      <c r="A176" t="s">
        <v>241</v>
      </c>
      <c r="B176">
        <f>COUNTIF(Sheet1!$F$22:$AF$41,allcase!A176)</f>
        <v>5</v>
      </c>
      <c r="D176" t="s">
        <v>213</v>
      </c>
      <c r="E176">
        <v>0</v>
      </c>
    </row>
    <row r="177" spans="1:5" x14ac:dyDescent="0.25">
      <c r="A177" t="s">
        <v>242</v>
      </c>
      <c r="B177">
        <f>COUNTIF(Sheet1!$F$22:$AF$41,allcase!A177)</f>
        <v>0</v>
      </c>
      <c r="D177" t="s">
        <v>214</v>
      </c>
      <c r="E177">
        <v>0</v>
      </c>
    </row>
    <row r="178" spans="1:5" x14ac:dyDescent="0.25">
      <c r="A178" t="s">
        <v>243</v>
      </c>
      <c r="B178">
        <f>COUNTIF(Sheet1!$F$22:$AF$41,allcase!A178)</f>
        <v>0</v>
      </c>
      <c r="D178" t="s">
        <v>215</v>
      </c>
      <c r="E178">
        <v>0</v>
      </c>
    </row>
    <row r="179" spans="1:5" x14ac:dyDescent="0.25">
      <c r="A179" t="s">
        <v>244</v>
      </c>
      <c r="B179">
        <f>COUNTIF(Sheet1!$F$22:$AF$41,allcase!A179)</f>
        <v>10</v>
      </c>
      <c r="D179" t="s">
        <v>216</v>
      </c>
      <c r="E179">
        <v>0</v>
      </c>
    </row>
    <row r="180" spans="1:5" x14ac:dyDescent="0.25">
      <c r="A180" t="s">
        <v>245</v>
      </c>
      <c r="B180">
        <f>COUNTIF(Sheet1!$F$22:$AF$41,allcase!A180)</f>
        <v>1</v>
      </c>
      <c r="D180" t="s">
        <v>217</v>
      </c>
      <c r="E180">
        <v>0</v>
      </c>
    </row>
    <row r="181" spans="1:5" x14ac:dyDescent="0.25">
      <c r="A181" t="s">
        <v>246</v>
      </c>
      <c r="B181">
        <f>COUNTIF(Sheet1!$F$22:$AF$41,allcase!A181)</f>
        <v>0</v>
      </c>
      <c r="D181" t="s">
        <v>218</v>
      </c>
      <c r="E181">
        <v>0</v>
      </c>
    </row>
    <row r="182" spans="1:5" x14ac:dyDescent="0.25">
      <c r="A182" t="s">
        <v>247</v>
      </c>
      <c r="B182">
        <f>COUNTIF(Sheet1!$F$22:$AF$41,allcase!A182)</f>
        <v>10</v>
      </c>
      <c r="D182" t="s">
        <v>219</v>
      </c>
      <c r="E182">
        <v>0</v>
      </c>
    </row>
    <row r="183" spans="1:5" x14ac:dyDescent="0.25">
      <c r="A183" t="s">
        <v>248</v>
      </c>
      <c r="B183">
        <f>COUNTIF(Sheet1!$F$22:$AF$41,allcase!A183)</f>
        <v>6</v>
      </c>
      <c r="D183" t="s">
        <v>220</v>
      </c>
      <c r="E183">
        <v>0</v>
      </c>
    </row>
    <row r="184" spans="1:5" x14ac:dyDescent="0.25">
      <c r="A184" t="s">
        <v>249</v>
      </c>
      <c r="B184">
        <f>COUNTIF(Sheet1!$F$22:$AF$41,allcase!A184)</f>
        <v>0</v>
      </c>
      <c r="D184" t="s">
        <v>221</v>
      </c>
      <c r="E184">
        <v>0</v>
      </c>
    </row>
    <row r="185" spans="1:5" x14ac:dyDescent="0.25">
      <c r="A185" t="s">
        <v>250</v>
      </c>
      <c r="B185">
        <f>COUNTIF(Sheet1!$F$22:$AF$41,allcase!A185)</f>
        <v>3</v>
      </c>
      <c r="D185" t="s">
        <v>222</v>
      </c>
      <c r="E185">
        <v>0</v>
      </c>
    </row>
    <row r="186" spans="1:5" x14ac:dyDescent="0.25">
      <c r="A186" t="s">
        <v>251</v>
      </c>
      <c r="B186">
        <f>COUNTIF(Sheet1!$F$22:$AF$41,allcase!A186)</f>
        <v>0</v>
      </c>
      <c r="D186" t="s">
        <v>224</v>
      </c>
      <c r="E186">
        <v>0</v>
      </c>
    </row>
    <row r="187" spans="1:5" x14ac:dyDescent="0.25">
      <c r="A187" t="s">
        <v>252</v>
      </c>
      <c r="B187">
        <f>COUNTIF(Sheet1!$F$22:$AF$41,allcase!A187)</f>
        <v>0</v>
      </c>
      <c r="D187" t="s">
        <v>225</v>
      </c>
      <c r="E187">
        <v>0</v>
      </c>
    </row>
    <row r="188" spans="1:5" x14ac:dyDescent="0.25">
      <c r="A188" t="s">
        <v>253</v>
      </c>
      <c r="B188">
        <f>COUNTIF(Sheet1!$F$22:$AF$41,allcase!A188)</f>
        <v>10</v>
      </c>
      <c r="D188" t="s">
        <v>227</v>
      </c>
      <c r="E188">
        <v>0</v>
      </c>
    </row>
    <row r="189" spans="1:5" x14ac:dyDescent="0.25">
      <c r="A189" t="s">
        <v>254</v>
      </c>
      <c r="B189">
        <f>COUNTIF(Sheet1!$F$22:$AF$41,allcase!A189)</f>
        <v>0</v>
      </c>
      <c r="D189" t="s">
        <v>228</v>
      </c>
      <c r="E189">
        <v>0</v>
      </c>
    </row>
    <row r="190" spans="1:5" x14ac:dyDescent="0.25">
      <c r="A190" t="s">
        <v>255</v>
      </c>
      <c r="B190">
        <f>COUNTIF(Sheet1!$F$22:$AF$41,allcase!A190)</f>
        <v>0</v>
      </c>
      <c r="D190" t="s">
        <v>230</v>
      </c>
      <c r="E190">
        <v>0</v>
      </c>
    </row>
    <row r="191" spans="1:5" x14ac:dyDescent="0.25">
      <c r="A191" t="s">
        <v>256</v>
      </c>
      <c r="B191">
        <f>COUNTIF(Sheet1!$F$22:$AF$41,allcase!A191)</f>
        <v>6</v>
      </c>
      <c r="D191" t="s">
        <v>231</v>
      </c>
      <c r="E191">
        <v>0</v>
      </c>
    </row>
    <row r="192" spans="1:5" x14ac:dyDescent="0.25">
      <c r="A192" t="s">
        <v>257</v>
      </c>
      <c r="B192">
        <f>COUNTIF(Sheet1!$F$22:$AF$41,allcase!A192)</f>
        <v>1</v>
      </c>
      <c r="D192" t="s">
        <v>233</v>
      </c>
      <c r="E192">
        <v>0</v>
      </c>
    </row>
    <row r="193" spans="1:5" x14ac:dyDescent="0.25">
      <c r="A193" t="s">
        <v>258</v>
      </c>
      <c r="B193">
        <f>COUNTIF(Sheet1!$F$22:$AF$41,allcase!A193)</f>
        <v>0</v>
      </c>
      <c r="D193" t="s">
        <v>234</v>
      </c>
      <c r="E193">
        <v>0</v>
      </c>
    </row>
    <row r="194" spans="1:5" x14ac:dyDescent="0.25">
      <c r="A194" t="s">
        <v>259</v>
      </c>
      <c r="B194">
        <f>COUNTIF(Sheet1!$F$22:$AF$41,allcase!A194)</f>
        <v>10</v>
      </c>
      <c r="D194" t="s">
        <v>235</v>
      </c>
      <c r="E194">
        <v>0</v>
      </c>
    </row>
    <row r="195" spans="1:5" x14ac:dyDescent="0.25">
      <c r="A195" t="s">
        <v>260</v>
      </c>
      <c r="B195">
        <f>COUNTIF(Sheet1!$F$22:$AF$41,allcase!A195)</f>
        <v>3</v>
      </c>
      <c r="D195" t="s">
        <v>236</v>
      </c>
      <c r="E195">
        <v>0</v>
      </c>
    </row>
    <row r="196" spans="1:5" x14ac:dyDescent="0.25">
      <c r="A196" t="s">
        <v>261</v>
      </c>
      <c r="B196">
        <f>COUNTIF(Sheet1!$F$22:$AF$41,allcase!A196)</f>
        <v>0</v>
      </c>
      <c r="D196" t="s">
        <v>237</v>
      </c>
      <c r="E196">
        <v>0</v>
      </c>
    </row>
    <row r="197" spans="1:5" x14ac:dyDescent="0.25">
      <c r="A197" t="s">
        <v>262</v>
      </c>
      <c r="B197">
        <f>COUNTIF(Sheet1!$F$22:$AF$41,allcase!A197)</f>
        <v>0</v>
      </c>
      <c r="D197" t="s">
        <v>239</v>
      </c>
      <c r="E197">
        <v>0</v>
      </c>
    </row>
    <row r="198" spans="1:5" x14ac:dyDescent="0.25">
      <c r="A198" t="s">
        <v>263</v>
      </c>
      <c r="B198">
        <f>COUNTIF(Sheet1!$F$22:$AF$41,allcase!A198)</f>
        <v>0</v>
      </c>
      <c r="D198" t="s">
        <v>240</v>
      </c>
      <c r="E198">
        <v>0</v>
      </c>
    </row>
    <row r="199" spans="1:5" x14ac:dyDescent="0.25">
      <c r="A199" t="s">
        <v>264</v>
      </c>
      <c r="B199">
        <f>COUNTIF(Sheet1!$F$22:$AF$41,allcase!A199)</f>
        <v>0</v>
      </c>
      <c r="D199" t="s">
        <v>242</v>
      </c>
      <c r="E199">
        <v>0</v>
      </c>
    </row>
    <row r="200" spans="1:5" x14ac:dyDescent="0.25">
      <c r="A200" t="s">
        <v>265</v>
      </c>
      <c r="B200">
        <f>COUNTIF(Sheet1!$F$22:$AF$41,allcase!A200)</f>
        <v>0</v>
      </c>
      <c r="D200" t="s">
        <v>243</v>
      </c>
      <c r="E200">
        <v>0</v>
      </c>
    </row>
    <row r="201" spans="1:5" x14ac:dyDescent="0.25">
      <c r="A201" t="s">
        <v>266</v>
      </c>
      <c r="B201">
        <f>COUNTIF(Sheet1!$F$22:$AF$41,allcase!A201)</f>
        <v>0</v>
      </c>
      <c r="D201" t="s">
        <v>246</v>
      </c>
      <c r="E201">
        <v>0</v>
      </c>
    </row>
    <row r="202" spans="1:5" x14ac:dyDescent="0.25">
      <c r="A202" t="s">
        <v>267</v>
      </c>
      <c r="B202">
        <f>COUNTIF(Sheet1!$F$22:$AF$41,allcase!A202)</f>
        <v>0</v>
      </c>
      <c r="D202" t="s">
        <v>249</v>
      </c>
      <c r="E202">
        <v>0</v>
      </c>
    </row>
    <row r="203" spans="1:5" x14ac:dyDescent="0.25">
      <c r="A203" t="s">
        <v>268</v>
      </c>
      <c r="B203">
        <f>COUNTIF(Sheet1!$F$22:$AF$41,allcase!A203)</f>
        <v>0</v>
      </c>
      <c r="D203" t="s">
        <v>251</v>
      </c>
      <c r="E203">
        <v>0</v>
      </c>
    </row>
    <row r="204" spans="1:5" x14ac:dyDescent="0.25">
      <c r="A204" t="s">
        <v>269</v>
      </c>
      <c r="B204">
        <f>COUNTIF(Sheet1!$F$22:$AF$41,allcase!A204)</f>
        <v>0</v>
      </c>
      <c r="D204" t="s">
        <v>252</v>
      </c>
      <c r="E204">
        <v>0</v>
      </c>
    </row>
    <row r="205" spans="1:5" x14ac:dyDescent="0.25">
      <c r="A205" t="s">
        <v>270</v>
      </c>
      <c r="B205">
        <f>COUNTIF(Sheet1!$F$22:$AF$41,allcase!A205)</f>
        <v>0</v>
      </c>
      <c r="D205" t="s">
        <v>254</v>
      </c>
      <c r="E205">
        <v>0</v>
      </c>
    </row>
    <row r="206" spans="1:5" x14ac:dyDescent="0.25">
      <c r="A206" t="s">
        <v>271</v>
      </c>
      <c r="B206">
        <f>COUNTIF(Sheet1!$F$22:$AF$41,allcase!A206)</f>
        <v>0</v>
      </c>
      <c r="D206" t="s">
        <v>255</v>
      </c>
      <c r="E206">
        <v>0</v>
      </c>
    </row>
    <row r="207" spans="1:5" x14ac:dyDescent="0.25">
      <c r="A207" t="s">
        <v>272</v>
      </c>
      <c r="B207">
        <f>COUNTIF(Sheet1!$F$22:$AF$41,allcase!A207)</f>
        <v>0</v>
      </c>
      <c r="D207" t="s">
        <v>258</v>
      </c>
      <c r="E207">
        <v>0</v>
      </c>
    </row>
    <row r="208" spans="1:5" x14ac:dyDescent="0.25">
      <c r="A208" t="s">
        <v>273</v>
      </c>
      <c r="B208">
        <f>COUNTIF(Sheet1!$F$22:$AF$41,allcase!A208)</f>
        <v>0</v>
      </c>
      <c r="D208" t="s">
        <v>261</v>
      </c>
      <c r="E208">
        <v>0</v>
      </c>
    </row>
    <row r="209" spans="1:5" x14ac:dyDescent="0.25">
      <c r="A209" t="s">
        <v>274</v>
      </c>
      <c r="B209">
        <f>COUNTIF(Sheet1!$F$22:$AF$41,allcase!A209)</f>
        <v>0</v>
      </c>
      <c r="D209" t="s">
        <v>262</v>
      </c>
      <c r="E209">
        <v>0</v>
      </c>
    </row>
    <row r="210" spans="1:5" x14ac:dyDescent="0.25">
      <c r="A210" t="s">
        <v>275</v>
      </c>
      <c r="B210">
        <f>COUNTIF(Sheet1!$F$22:$AF$41,allcase!A210)</f>
        <v>0</v>
      </c>
      <c r="D210" t="s">
        <v>263</v>
      </c>
      <c r="E210">
        <v>0</v>
      </c>
    </row>
    <row r="211" spans="1:5" x14ac:dyDescent="0.25">
      <c r="A211" t="s">
        <v>276</v>
      </c>
      <c r="B211">
        <f>COUNTIF(Sheet1!$F$22:$AF$41,allcase!A211)</f>
        <v>0</v>
      </c>
      <c r="D211" t="s">
        <v>264</v>
      </c>
      <c r="E211">
        <v>0</v>
      </c>
    </row>
    <row r="212" spans="1:5" x14ac:dyDescent="0.25">
      <c r="A212" t="s">
        <v>277</v>
      </c>
      <c r="B212">
        <f>COUNTIF(Sheet1!$F$22:$AF$41,allcase!A212)</f>
        <v>0</v>
      </c>
      <c r="D212" t="s">
        <v>265</v>
      </c>
      <c r="E212">
        <v>0</v>
      </c>
    </row>
    <row r="213" spans="1:5" x14ac:dyDescent="0.25">
      <c r="A213" t="s">
        <v>278</v>
      </c>
      <c r="B213">
        <f>COUNTIF(Sheet1!$F$22:$AF$41,allcase!A213)</f>
        <v>0</v>
      </c>
      <c r="D213" t="s">
        <v>266</v>
      </c>
      <c r="E213">
        <v>0</v>
      </c>
    </row>
    <row r="214" spans="1:5" x14ac:dyDescent="0.25">
      <c r="A214" t="s">
        <v>279</v>
      </c>
      <c r="B214">
        <f>COUNTIF(Sheet1!$F$22:$AF$41,allcase!A214)</f>
        <v>4</v>
      </c>
      <c r="D214" t="s">
        <v>267</v>
      </c>
      <c r="E214">
        <v>0</v>
      </c>
    </row>
    <row r="215" spans="1:5" x14ac:dyDescent="0.25">
      <c r="A215" t="s">
        <v>280</v>
      </c>
      <c r="B215">
        <f>COUNTIF(Sheet1!$F$22:$AF$41,allcase!A215)</f>
        <v>5</v>
      </c>
      <c r="D215" t="s">
        <v>268</v>
      </c>
      <c r="E215">
        <v>0</v>
      </c>
    </row>
    <row r="216" spans="1:5" x14ac:dyDescent="0.25">
      <c r="A216" t="s">
        <v>281</v>
      </c>
      <c r="B216">
        <f>COUNTIF(Sheet1!$F$22:$AF$41,allcase!A216)</f>
        <v>9</v>
      </c>
      <c r="D216" t="s">
        <v>269</v>
      </c>
      <c r="E216">
        <v>0</v>
      </c>
    </row>
    <row r="217" spans="1:5" x14ac:dyDescent="0.25">
      <c r="A217" t="s">
        <v>282</v>
      </c>
      <c r="B217">
        <f>COUNTIF(Sheet1!$F$22:$AF$41,allcase!A217)</f>
        <v>6</v>
      </c>
      <c r="D217" t="s">
        <v>270</v>
      </c>
      <c r="E217">
        <v>0</v>
      </c>
    </row>
    <row r="218" spans="1:5" x14ac:dyDescent="0.25">
      <c r="A218" t="s">
        <v>283</v>
      </c>
      <c r="B218">
        <f>COUNTIF(Sheet1!$F$22:$AF$41,allcase!A218)</f>
        <v>0</v>
      </c>
      <c r="D218" t="s">
        <v>271</v>
      </c>
      <c r="E218">
        <v>0</v>
      </c>
    </row>
    <row r="219" spans="1:5" x14ac:dyDescent="0.25">
      <c r="A219" t="s">
        <v>284</v>
      </c>
      <c r="B219">
        <f>COUNTIF(Sheet1!$F$22:$AF$41,allcase!A219)</f>
        <v>9</v>
      </c>
      <c r="D219" t="s">
        <v>272</v>
      </c>
      <c r="E219">
        <v>0</v>
      </c>
    </row>
    <row r="220" spans="1:5" x14ac:dyDescent="0.25">
      <c r="A220" t="s">
        <v>285</v>
      </c>
      <c r="B220">
        <f>COUNTIF(Sheet1!$F$22:$AF$41,allcase!A220)</f>
        <v>10</v>
      </c>
      <c r="D220" t="s">
        <v>273</v>
      </c>
      <c r="E220">
        <v>0</v>
      </c>
    </row>
    <row r="221" spans="1:5" x14ac:dyDescent="0.25">
      <c r="A221" t="s">
        <v>286</v>
      </c>
      <c r="B221">
        <f>COUNTIF(Sheet1!$F$22:$AF$41,allcase!A221)</f>
        <v>10</v>
      </c>
      <c r="D221" t="s">
        <v>274</v>
      </c>
      <c r="E221">
        <v>0</v>
      </c>
    </row>
    <row r="222" spans="1:5" x14ac:dyDescent="0.25">
      <c r="A222" t="s">
        <v>287</v>
      </c>
      <c r="B222">
        <f>COUNTIF(Sheet1!$F$22:$AF$41,allcase!A222)</f>
        <v>10</v>
      </c>
      <c r="D222" t="s">
        <v>275</v>
      </c>
      <c r="E222">
        <v>0</v>
      </c>
    </row>
    <row r="223" spans="1:5" x14ac:dyDescent="0.25">
      <c r="A223" t="s">
        <v>288</v>
      </c>
      <c r="B223">
        <f>COUNTIF(Sheet1!$F$22:$AF$41,allcase!A223)</f>
        <v>9</v>
      </c>
      <c r="D223" t="s">
        <v>276</v>
      </c>
      <c r="E223">
        <v>0</v>
      </c>
    </row>
    <row r="224" spans="1:5" x14ac:dyDescent="0.25">
      <c r="A224" t="s">
        <v>289</v>
      </c>
      <c r="B224">
        <f>COUNTIF(Sheet1!$F$22:$AF$41,allcase!A224)</f>
        <v>10</v>
      </c>
      <c r="D224" t="s">
        <v>277</v>
      </c>
      <c r="E224">
        <v>0</v>
      </c>
    </row>
    <row r="225" spans="1:5" x14ac:dyDescent="0.25">
      <c r="A225" t="s">
        <v>290</v>
      </c>
      <c r="B225">
        <f>COUNTIF(Sheet1!$F$22:$AF$41,allcase!A225)</f>
        <v>9</v>
      </c>
      <c r="D225" t="s">
        <v>278</v>
      </c>
      <c r="E225">
        <v>0</v>
      </c>
    </row>
    <row r="226" spans="1:5" x14ac:dyDescent="0.25">
      <c r="A226" t="s">
        <v>291</v>
      </c>
      <c r="B226">
        <f>COUNTIF(Sheet1!$F$22:$AF$41,allcase!A226)</f>
        <v>10</v>
      </c>
      <c r="D226" t="s">
        <v>283</v>
      </c>
      <c r="E226">
        <v>0</v>
      </c>
    </row>
    <row r="227" spans="1:5" x14ac:dyDescent="0.25">
      <c r="A227" t="s">
        <v>292</v>
      </c>
      <c r="B227">
        <f>COUNTIF(Sheet1!$F$22:$AF$41,allcase!A227)</f>
        <v>0</v>
      </c>
      <c r="D227" t="s">
        <v>292</v>
      </c>
      <c r="E227">
        <v>0</v>
      </c>
    </row>
    <row r="228" spans="1:5" x14ac:dyDescent="0.25">
      <c r="A228" t="s">
        <v>293</v>
      </c>
      <c r="B228">
        <f>COUNTIF(Sheet1!$F$22:$AF$41,allcase!A228)</f>
        <v>0</v>
      </c>
      <c r="D228" t="s">
        <v>293</v>
      </c>
      <c r="E228">
        <v>0</v>
      </c>
    </row>
    <row r="229" spans="1:5" x14ac:dyDescent="0.25">
      <c r="A229" t="s">
        <v>294</v>
      </c>
      <c r="B229">
        <f>COUNTIF(Sheet1!$F$22:$AF$41,allcase!A229)</f>
        <v>0</v>
      </c>
      <c r="D229" t="s">
        <v>294</v>
      </c>
      <c r="E229">
        <v>0</v>
      </c>
    </row>
    <row r="230" spans="1:5" x14ac:dyDescent="0.25">
      <c r="A230" t="s">
        <v>295</v>
      </c>
      <c r="B230">
        <f>COUNTIF(Sheet1!$F$22:$AF$41,allcase!A230)</f>
        <v>0</v>
      </c>
      <c r="D230" t="s">
        <v>295</v>
      </c>
      <c r="E230">
        <v>0</v>
      </c>
    </row>
    <row r="231" spans="1:5" x14ac:dyDescent="0.25">
      <c r="A231" t="s">
        <v>296</v>
      </c>
      <c r="B231">
        <f>COUNTIF(Sheet1!$F$22:$AF$41,allcase!A231)</f>
        <v>0</v>
      </c>
      <c r="D231" t="s">
        <v>296</v>
      </c>
      <c r="E231">
        <v>0</v>
      </c>
    </row>
    <row r="232" spans="1:5" x14ac:dyDescent="0.25">
      <c r="A232" t="s">
        <v>297</v>
      </c>
      <c r="B232">
        <f>COUNTIF(Sheet1!$F$22:$AF$41,allcase!A232)</f>
        <v>0</v>
      </c>
      <c r="D232" t="s">
        <v>297</v>
      </c>
      <c r="E232">
        <v>0</v>
      </c>
    </row>
    <row r="233" spans="1:5" x14ac:dyDescent="0.25">
      <c r="A233" t="s">
        <v>298</v>
      </c>
      <c r="B233">
        <f>COUNTIF(Sheet1!$F$22:$AF$41,allcase!A233)</f>
        <v>0</v>
      </c>
      <c r="D233" t="s">
        <v>298</v>
      </c>
      <c r="E233">
        <v>0</v>
      </c>
    </row>
    <row r="234" spans="1:5" x14ac:dyDescent="0.25">
      <c r="A234" t="s">
        <v>299</v>
      </c>
      <c r="B234">
        <f>COUNTIF(Sheet1!$F$22:$AF$41,allcase!A234)</f>
        <v>0</v>
      </c>
      <c r="D234" t="s">
        <v>299</v>
      </c>
      <c r="E234">
        <v>0</v>
      </c>
    </row>
    <row r="235" spans="1:5" x14ac:dyDescent="0.25">
      <c r="A235" t="s">
        <v>300</v>
      </c>
      <c r="B235">
        <f>COUNTIF(Sheet1!$F$22:$AF$41,allcase!A235)</f>
        <v>0</v>
      </c>
      <c r="D235" t="s">
        <v>300</v>
      </c>
      <c r="E235">
        <v>0</v>
      </c>
    </row>
    <row r="236" spans="1:5" x14ac:dyDescent="0.25">
      <c r="A236" t="s">
        <v>301</v>
      </c>
      <c r="B236">
        <f>COUNTIF(Sheet1!$F$22:$AF$41,allcase!A236)</f>
        <v>0</v>
      </c>
      <c r="D236" t="s">
        <v>301</v>
      </c>
      <c r="E236">
        <v>0</v>
      </c>
    </row>
    <row r="237" spans="1:5" x14ac:dyDescent="0.25">
      <c r="A237" t="s">
        <v>302</v>
      </c>
      <c r="B237">
        <f>COUNTIF(Sheet1!$F$22:$AF$41,allcase!A237)</f>
        <v>0</v>
      </c>
      <c r="D237" t="s">
        <v>302</v>
      </c>
      <c r="E237">
        <v>0</v>
      </c>
    </row>
  </sheetData>
  <sortState xmlns:xlrd2="http://schemas.microsoft.com/office/spreadsheetml/2017/richdata2" ref="D2:E237">
    <sortCondition descending="1" ref="E2:E2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5BDF-383F-474D-AE80-874B4FAD58F6}">
  <dimension ref="A1:H237"/>
  <sheetViews>
    <sheetView workbookViewId="0">
      <selection activeCell="G1" sqref="G1:H48"/>
    </sheetView>
  </sheetViews>
  <sheetFormatPr defaultRowHeight="15" x14ac:dyDescent="0.25"/>
  <sheetData>
    <row r="1" spans="1:8" x14ac:dyDescent="0.25">
      <c r="A1" t="s">
        <v>303</v>
      </c>
      <c r="B1" t="s">
        <v>4</v>
      </c>
      <c r="D1" t="s">
        <v>303</v>
      </c>
      <c r="E1" t="s">
        <v>4</v>
      </c>
      <c r="G1" t="s">
        <v>303</v>
      </c>
      <c r="H1" t="s">
        <v>4</v>
      </c>
    </row>
    <row r="2" spans="1:8" x14ac:dyDescent="0.25">
      <c r="A2" t="s">
        <v>67</v>
      </c>
      <c r="B2">
        <f>COUNTIF(Sheet1!$F$42:$AE$61,allcase!A2)</f>
        <v>0</v>
      </c>
      <c r="D2" t="s">
        <v>143</v>
      </c>
      <c r="E2">
        <v>10</v>
      </c>
      <c r="G2" t="s">
        <v>143</v>
      </c>
      <c r="H2">
        <v>10</v>
      </c>
    </row>
    <row r="3" spans="1:8" x14ac:dyDescent="0.25">
      <c r="A3" t="s">
        <v>68</v>
      </c>
      <c r="B3">
        <f>COUNTIF(Sheet1!$F$42:$AE$61,allcase!A3)</f>
        <v>0</v>
      </c>
      <c r="D3" t="s">
        <v>155</v>
      </c>
      <c r="E3">
        <v>10</v>
      </c>
      <c r="G3" t="s">
        <v>155</v>
      </c>
      <c r="H3">
        <v>10</v>
      </c>
    </row>
    <row r="4" spans="1:8" x14ac:dyDescent="0.25">
      <c r="A4" t="s">
        <v>69</v>
      </c>
      <c r="B4">
        <f>COUNTIF(Sheet1!$F$42:$AE$61,allcase!A4)</f>
        <v>0</v>
      </c>
      <c r="D4" t="s">
        <v>158</v>
      </c>
      <c r="E4">
        <v>10</v>
      </c>
      <c r="G4" t="s">
        <v>158</v>
      </c>
      <c r="H4">
        <v>10</v>
      </c>
    </row>
    <row r="5" spans="1:8" x14ac:dyDescent="0.25">
      <c r="A5" t="s">
        <v>70</v>
      </c>
      <c r="B5">
        <f>COUNTIF(Sheet1!$F$42:$AE$61,allcase!A5)</f>
        <v>0</v>
      </c>
      <c r="D5" t="s">
        <v>161</v>
      </c>
      <c r="E5">
        <v>10</v>
      </c>
      <c r="G5" t="s">
        <v>161</v>
      </c>
      <c r="H5">
        <v>10</v>
      </c>
    </row>
    <row r="6" spans="1:8" x14ac:dyDescent="0.25">
      <c r="A6" t="s">
        <v>71</v>
      </c>
      <c r="B6">
        <f>COUNTIF(Sheet1!$F$42:$AE$61,allcase!A6)</f>
        <v>0</v>
      </c>
      <c r="D6" t="s">
        <v>173</v>
      </c>
      <c r="E6">
        <v>10</v>
      </c>
      <c r="G6" t="s">
        <v>173</v>
      </c>
      <c r="H6">
        <v>10</v>
      </c>
    </row>
    <row r="7" spans="1:8" x14ac:dyDescent="0.25">
      <c r="A7" t="s">
        <v>72</v>
      </c>
      <c r="B7">
        <f>COUNTIF(Sheet1!$F$42:$AE$61,allcase!A7)</f>
        <v>0</v>
      </c>
      <c r="D7" t="s">
        <v>182</v>
      </c>
      <c r="E7">
        <v>10</v>
      </c>
      <c r="G7" t="s">
        <v>182</v>
      </c>
      <c r="H7">
        <v>10</v>
      </c>
    </row>
    <row r="8" spans="1:8" x14ac:dyDescent="0.25">
      <c r="A8" t="s">
        <v>73</v>
      </c>
      <c r="B8">
        <f>COUNTIF(Sheet1!$F$42:$AE$61,allcase!A8)</f>
        <v>0</v>
      </c>
      <c r="D8" t="s">
        <v>185</v>
      </c>
      <c r="E8">
        <v>10</v>
      </c>
      <c r="G8" t="s">
        <v>185</v>
      </c>
      <c r="H8">
        <v>10</v>
      </c>
    </row>
    <row r="9" spans="1:8" x14ac:dyDescent="0.25">
      <c r="A9" t="s">
        <v>74</v>
      </c>
      <c r="B9">
        <f>COUNTIF(Sheet1!$F$42:$AE$61,allcase!A9)</f>
        <v>0</v>
      </c>
      <c r="D9" t="s">
        <v>238</v>
      </c>
      <c r="E9">
        <v>10</v>
      </c>
      <c r="G9" t="s">
        <v>238</v>
      </c>
      <c r="H9">
        <v>10</v>
      </c>
    </row>
    <row r="10" spans="1:8" x14ac:dyDescent="0.25">
      <c r="A10" t="s">
        <v>75</v>
      </c>
      <c r="B10">
        <f>COUNTIF(Sheet1!$F$42:$AE$61,allcase!A10)</f>
        <v>0</v>
      </c>
      <c r="D10" t="s">
        <v>244</v>
      </c>
      <c r="E10">
        <v>10</v>
      </c>
      <c r="G10" t="s">
        <v>244</v>
      </c>
      <c r="H10">
        <v>10</v>
      </c>
    </row>
    <row r="11" spans="1:8" x14ac:dyDescent="0.25">
      <c r="A11" t="s">
        <v>76</v>
      </c>
      <c r="B11">
        <f>COUNTIF(Sheet1!$F$42:$AE$61,allcase!A11)</f>
        <v>0</v>
      </c>
      <c r="D11" t="s">
        <v>247</v>
      </c>
      <c r="E11">
        <v>10</v>
      </c>
      <c r="G11" t="s">
        <v>247</v>
      </c>
      <c r="H11">
        <v>10</v>
      </c>
    </row>
    <row r="12" spans="1:8" x14ac:dyDescent="0.25">
      <c r="A12" t="s">
        <v>77</v>
      </c>
      <c r="B12">
        <f>COUNTIF(Sheet1!$F$42:$AE$61,allcase!A12)</f>
        <v>0</v>
      </c>
      <c r="D12" t="s">
        <v>253</v>
      </c>
      <c r="E12">
        <v>10</v>
      </c>
      <c r="G12" t="s">
        <v>253</v>
      </c>
      <c r="H12">
        <v>10</v>
      </c>
    </row>
    <row r="13" spans="1:8" x14ac:dyDescent="0.25">
      <c r="A13" t="s">
        <v>78</v>
      </c>
      <c r="B13">
        <f>COUNTIF(Sheet1!$F$42:$AE$61,allcase!A13)</f>
        <v>0</v>
      </c>
      <c r="D13" t="s">
        <v>259</v>
      </c>
      <c r="E13">
        <v>10</v>
      </c>
      <c r="G13" t="s">
        <v>259</v>
      </c>
      <c r="H13">
        <v>10</v>
      </c>
    </row>
    <row r="14" spans="1:8" x14ac:dyDescent="0.25">
      <c r="A14" t="s">
        <v>79</v>
      </c>
      <c r="B14">
        <f>COUNTIF(Sheet1!$F$42:$AE$61,allcase!A14)</f>
        <v>0</v>
      </c>
      <c r="D14" t="s">
        <v>284</v>
      </c>
      <c r="E14">
        <v>10</v>
      </c>
      <c r="G14" t="s">
        <v>284</v>
      </c>
      <c r="H14">
        <v>10</v>
      </c>
    </row>
    <row r="15" spans="1:8" x14ac:dyDescent="0.25">
      <c r="A15" t="s">
        <v>80</v>
      </c>
      <c r="B15">
        <f>COUNTIF(Sheet1!$F$42:$AE$61,allcase!A15)</f>
        <v>0</v>
      </c>
      <c r="D15" t="s">
        <v>285</v>
      </c>
      <c r="E15">
        <v>10</v>
      </c>
      <c r="G15" t="s">
        <v>285</v>
      </c>
      <c r="H15">
        <v>10</v>
      </c>
    </row>
    <row r="16" spans="1:8" x14ac:dyDescent="0.25">
      <c r="A16" t="s">
        <v>81</v>
      </c>
      <c r="B16">
        <f>COUNTIF(Sheet1!$F$42:$AE$61,allcase!A16)</f>
        <v>0</v>
      </c>
      <c r="D16" t="s">
        <v>287</v>
      </c>
      <c r="E16">
        <v>10</v>
      </c>
      <c r="G16" t="s">
        <v>287</v>
      </c>
      <c r="H16">
        <v>10</v>
      </c>
    </row>
    <row r="17" spans="1:8" x14ac:dyDescent="0.25">
      <c r="A17" t="s">
        <v>82</v>
      </c>
      <c r="B17">
        <f>COUNTIF(Sheet1!$F$42:$AE$61,allcase!A17)</f>
        <v>0</v>
      </c>
      <c r="D17" t="s">
        <v>291</v>
      </c>
      <c r="E17">
        <v>10</v>
      </c>
      <c r="G17" t="s">
        <v>291</v>
      </c>
      <c r="H17">
        <v>10</v>
      </c>
    </row>
    <row r="18" spans="1:8" x14ac:dyDescent="0.25">
      <c r="A18" t="s">
        <v>83</v>
      </c>
      <c r="B18">
        <f>COUNTIF(Sheet1!$F$42:$AE$61,allcase!A18)</f>
        <v>0</v>
      </c>
      <c r="D18" t="s">
        <v>149</v>
      </c>
      <c r="E18">
        <v>9</v>
      </c>
      <c r="G18" t="s">
        <v>149</v>
      </c>
      <c r="H18">
        <v>9</v>
      </c>
    </row>
    <row r="19" spans="1:8" x14ac:dyDescent="0.25">
      <c r="A19" t="s">
        <v>84</v>
      </c>
      <c r="B19">
        <f>COUNTIF(Sheet1!$F$42:$AE$61,allcase!A19)</f>
        <v>0</v>
      </c>
      <c r="D19" t="s">
        <v>179</v>
      </c>
      <c r="E19">
        <v>9</v>
      </c>
      <c r="G19" t="s">
        <v>179</v>
      </c>
      <c r="H19">
        <v>9</v>
      </c>
    </row>
    <row r="20" spans="1:8" x14ac:dyDescent="0.25">
      <c r="A20" t="s">
        <v>85</v>
      </c>
      <c r="B20">
        <f>COUNTIF(Sheet1!$F$42:$AE$61,allcase!A20)</f>
        <v>0</v>
      </c>
      <c r="D20" t="s">
        <v>281</v>
      </c>
      <c r="E20">
        <v>9</v>
      </c>
      <c r="G20" t="s">
        <v>281</v>
      </c>
      <c r="H20">
        <v>9</v>
      </c>
    </row>
    <row r="21" spans="1:8" x14ac:dyDescent="0.25">
      <c r="A21" t="s">
        <v>86</v>
      </c>
      <c r="B21">
        <f>COUNTIF(Sheet1!$F$42:$AE$61,allcase!A21)</f>
        <v>0</v>
      </c>
      <c r="D21" t="s">
        <v>286</v>
      </c>
      <c r="E21">
        <v>9</v>
      </c>
      <c r="G21" t="s">
        <v>286</v>
      </c>
      <c r="H21">
        <v>9</v>
      </c>
    </row>
    <row r="22" spans="1:8" x14ac:dyDescent="0.25">
      <c r="A22" t="s">
        <v>87</v>
      </c>
      <c r="B22">
        <f>COUNTIF(Sheet1!$F$42:$AE$61,allcase!A22)</f>
        <v>0</v>
      </c>
      <c r="D22" t="s">
        <v>140</v>
      </c>
      <c r="E22">
        <v>8</v>
      </c>
      <c r="G22" t="s">
        <v>140</v>
      </c>
      <c r="H22">
        <v>8</v>
      </c>
    </row>
    <row r="23" spans="1:8" x14ac:dyDescent="0.25">
      <c r="A23" t="s">
        <v>88</v>
      </c>
      <c r="B23">
        <f>COUNTIF(Sheet1!$F$42:$AE$61,allcase!A23)</f>
        <v>0</v>
      </c>
      <c r="D23" t="s">
        <v>152</v>
      </c>
      <c r="E23">
        <v>8</v>
      </c>
      <c r="G23" t="s">
        <v>152</v>
      </c>
      <c r="H23">
        <v>8</v>
      </c>
    </row>
    <row r="24" spans="1:8" x14ac:dyDescent="0.25">
      <c r="A24" t="s">
        <v>89</v>
      </c>
      <c r="B24">
        <f>COUNTIF(Sheet1!$F$42:$AE$61,allcase!A24)</f>
        <v>0</v>
      </c>
      <c r="D24" t="s">
        <v>229</v>
      </c>
      <c r="E24">
        <v>7</v>
      </c>
      <c r="G24" t="s">
        <v>229</v>
      </c>
      <c r="H24">
        <v>7</v>
      </c>
    </row>
    <row r="25" spans="1:8" x14ac:dyDescent="0.25">
      <c r="A25" t="s">
        <v>90</v>
      </c>
      <c r="B25">
        <f>COUNTIF(Sheet1!$F$42:$AE$61,allcase!A25)</f>
        <v>0</v>
      </c>
      <c r="D25" t="s">
        <v>290</v>
      </c>
      <c r="E25">
        <v>7</v>
      </c>
      <c r="G25" t="s">
        <v>290</v>
      </c>
      <c r="H25">
        <v>7</v>
      </c>
    </row>
    <row r="26" spans="1:8" x14ac:dyDescent="0.25">
      <c r="A26" t="s">
        <v>91</v>
      </c>
      <c r="B26">
        <f>COUNTIF(Sheet1!$F$42:$AE$61,allcase!A26)</f>
        <v>0</v>
      </c>
      <c r="D26" t="s">
        <v>184</v>
      </c>
      <c r="E26">
        <v>6</v>
      </c>
      <c r="G26" t="s">
        <v>184</v>
      </c>
      <c r="H26">
        <v>6</v>
      </c>
    </row>
    <row r="27" spans="1:8" x14ac:dyDescent="0.25">
      <c r="A27" t="s">
        <v>92</v>
      </c>
      <c r="B27">
        <f>COUNTIF(Sheet1!$F$42:$AE$61,allcase!A27)</f>
        <v>0</v>
      </c>
      <c r="D27" t="s">
        <v>167</v>
      </c>
      <c r="E27">
        <v>5</v>
      </c>
      <c r="G27" t="s">
        <v>167</v>
      </c>
      <c r="H27">
        <v>5</v>
      </c>
    </row>
    <row r="28" spans="1:8" x14ac:dyDescent="0.25">
      <c r="A28" t="s">
        <v>93</v>
      </c>
      <c r="B28">
        <f>COUNTIF(Sheet1!$F$42:$AE$61,allcase!A28)</f>
        <v>0</v>
      </c>
      <c r="D28" t="s">
        <v>170</v>
      </c>
      <c r="E28">
        <v>5</v>
      </c>
      <c r="G28" t="s">
        <v>170</v>
      </c>
      <c r="H28">
        <v>5</v>
      </c>
    </row>
    <row r="29" spans="1:8" x14ac:dyDescent="0.25">
      <c r="A29" t="s">
        <v>94</v>
      </c>
      <c r="B29">
        <f>COUNTIF(Sheet1!$F$42:$AE$61,allcase!A29)</f>
        <v>0</v>
      </c>
      <c r="D29" t="s">
        <v>172</v>
      </c>
      <c r="E29">
        <v>5</v>
      </c>
      <c r="G29" t="s">
        <v>172</v>
      </c>
      <c r="H29">
        <v>5</v>
      </c>
    </row>
    <row r="30" spans="1:8" x14ac:dyDescent="0.25">
      <c r="A30" t="s">
        <v>95</v>
      </c>
      <c r="B30">
        <f>COUNTIF(Sheet1!$F$42:$AE$61,allcase!A30)</f>
        <v>0</v>
      </c>
      <c r="D30" t="s">
        <v>176</v>
      </c>
      <c r="E30">
        <v>5</v>
      </c>
      <c r="G30" t="s">
        <v>176</v>
      </c>
      <c r="H30">
        <v>5</v>
      </c>
    </row>
    <row r="31" spans="1:8" x14ac:dyDescent="0.25">
      <c r="A31" t="s">
        <v>96</v>
      </c>
      <c r="B31">
        <f>COUNTIF(Sheet1!$F$42:$AE$61,allcase!A31)</f>
        <v>0</v>
      </c>
      <c r="D31" t="s">
        <v>150</v>
      </c>
      <c r="E31">
        <v>4</v>
      </c>
      <c r="G31" t="s">
        <v>150</v>
      </c>
      <c r="H31">
        <v>4</v>
      </c>
    </row>
    <row r="32" spans="1:8" x14ac:dyDescent="0.25">
      <c r="A32" t="s">
        <v>97</v>
      </c>
      <c r="B32">
        <f>COUNTIF(Sheet1!$F$42:$AE$61,allcase!A32)</f>
        <v>0</v>
      </c>
      <c r="D32" t="s">
        <v>156</v>
      </c>
      <c r="E32">
        <v>4</v>
      </c>
      <c r="G32" t="s">
        <v>156</v>
      </c>
      <c r="H32">
        <v>4</v>
      </c>
    </row>
    <row r="33" spans="1:8" x14ac:dyDescent="0.25">
      <c r="A33" t="s">
        <v>98</v>
      </c>
      <c r="B33">
        <f>COUNTIF(Sheet1!$F$42:$AE$61,allcase!A33)</f>
        <v>0</v>
      </c>
      <c r="D33" t="s">
        <v>164</v>
      </c>
      <c r="E33">
        <v>4</v>
      </c>
      <c r="G33" t="s">
        <v>164</v>
      </c>
      <c r="H33">
        <v>4</v>
      </c>
    </row>
    <row r="34" spans="1:8" x14ac:dyDescent="0.25">
      <c r="A34" t="s">
        <v>99</v>
      </c>
      <c r="B34">
        <f>COUNTIF(Sheet1!$F$42:$AE$61,allcase!A34)</f>
        <v>0</v>
      </c>
      <c r="D34" t="s">
        <v>256</v>
      </c>
      <c r="E34">
        <v>4</v>
      </c>
      <c r="G34" t="s">
        <v>256</v>
      </c>
      <c r="H34">
        <v>4</v>
      </c>
    </row>
    <row r="35" spans="1:8" x14ac:dyDescent="0.25">
      <c r="A35" t="s">
        <v>100</v>
      </c>
      <c r="B35">
        <f>COUNTIF(Sheet1!$F$42:$AE$61,allcase!A35)</f>
        <v>0</v>
      </c>
      <c r="D35" t="s">
        <v>282</v>
      </c>
      <c r="E35">
        <v>4</v>
      </c>
      <c r="G35" t="s">
        <v>282</v>
      </c>
      <c r="H35">
        <v>4</v>
      </c>
    </row>
    <row r="36" spans="1:8" x14ac:dyDescent="0.25">
      <c r="A36" t="s">
        <v>101</v>
      </c>
      <c r="B36">
        <f>COUNTIF(Sheet1!$F$42:$AE$61,allcase!A36)</f>
        <v>0</v>
      </c>
      <c r="D36" t="s">
        <v>241</v>
      </c>
      <c r="E36">
        <v>3</v>
      </c>
      <c r="G36" t="s">
        <v>241</v>
      </c>
      <c r="H36">
        <v>3</v>
      </c>
    </row>
    <row r="37" spans="1:8" x14ac:dyDescent="0.25">
      <c r="A37" t="s">
        <v>102</v>
      </c>
      <c r="B37">
        <f>COUNTIF(Sheet1!$F$42:$AE$61,allcase!A37)</f>
        <v>0</v>
      </c>
      <c r="D37" t="s">
        <v>138</v>
      </c>
      <c r="E37">
        <v>2</v>
      </c>
      <c r="G37" t="s">
        <v>138</v>
      </c>
      <c r="H37">
        <v>2</v>
      </c>
    </row>
    <row r="38" spans="1:8" x14ac:dyDescent="0.25">
      <c r="A38" t="s">
        <v>103</v>
      </c>
      <c r="B38">
        <f>COUNTIF(Sheet1!$F$42:$AE$61,allcase!A38)</f>
        <v>0</v>
      </c>
      <c r="D38" t="s">
        <v>168</v>
      </c>
      <c r="E38">
        <v>2</v>
      </c>
      <c r="G38" t="s">
        <v>168</v>
      </c>
      <c r="H38">
        <v>2</v>
      </c>
    </row>
    <row r="39" spans="1:8" x14ac:dyDescent="0.25">
      <c r="A39" t="s">
        <v>104</v>
      </c>
      <c r="B39">
        <f>COUNTIF(Sheet1!$F$42:$AE$61,allcase!A39)</f>
        <v>0</v>
      </c>
      <c r="D39" t="s">
        <v>180</v>
      </c>
      <c r="E39">
        <v>2</v>
      </c>
      <c r="G39" t="s">
        <v>180</v>
      </c>
      <c r="H39">
        <v>2</v>
      </c>
    </row>
    <row r="40" spans="1:8" x14ac:dyDescent="0.25">
      <c r="A40" t="s">
        <v>105</v>
      </c>
      <c r="B40">
        <f>COUNTIF(Sheet1!$F$42:$AE$61,allcase!A40)</f>
        <v>0</v>
      </c>
      <c r="D40" t="s">
        <v>223</v>
      </c>
      <c r="E40">
        <v>2</v>
      </c>
      <c r="G40" t="s">
        <v>223</v>
      </c>
      <c r="H40">
        <v>2</v>
      </c>
    </row>
    <row r="41" spans="1:8" x14ac:dyDescent="0.25">
      <c r="A41" t="s">
        <v>106</v>
      </c>
      <c r="B41">
        <f>COUNTIF(Sheet1!$F$42:$AE$61,allcase!A41)</f>
        <v>0</v>
      </c>
      <c r="D41" t="s">
        <v>280</v>
      </c>
      <c r="E41">
        <v>2</v>
      </c>
      <c r="G41" t="s">
        <v>280</v>
      </c>
      <c r="H41">
        <v>2</v>
      </c>
    </row>
    <row r="42" spans="1:8" x14ac:dyDescent="0.25">
      <c r="A42" t="s">
        <v>107</v>
      </c>
      <c r="B42">
        <f>COUNTIF(Sheet1!$F$42:$AE$61,allcase!A42)</f>
        <v>0</v>
      </c>
      <c r="D42" t="s">
        <v>289</v>
      </c>
      <c r="E42">
        <v>2</v>
      </c>
      <c r="G42" t="s">
        <v>289</v>
      </c>
      <c r="H42">
        <v>2</v>
      </c>
    </row>
    <row r="43" spans="1:8" x14ac:dyDescent="0.25">
      <c r="A43" t="s">
        <v>108</v>
      </c>
      <c r="B43">
        <f>COUNTIF(Sheet1!$F$42:$AE$61,allcase!A43)</f>
        <v>0</v>
      </c>
      <c r="D43" t="s">
        <v>113</v>
      </c>
      <c r="E43">
        <v>1</v>
      </c>
      <c r="G43" t="s">
        <v>113</v>
      </c>
      <c r="H43">
        <v>1</v>
      </c>
    </row>
    <row r="44" spans="1:8" x14ac:dyDescent="0.25">
      <c r="A44" t="s">
        <v>109</v>
      </c>
      <c r="B44">
        <f>COUNTIF(Sheet1!$F$42:$AE$61,allcase!A44)</f>
        <v>0</v>
      </c>
      <c r="D44" t="s">
        <v>160</v>
      </c>
      <c r="E44">
        <v>1</v>
      </c>
      <c r="G44" t="s">
        <v>160</v>
      </c>
      <c r="H44">
        <v>1</v>
      </c>
    </row>
    <row r="45" spans="1:8" x14ac:dyDescent="0.25">
      <c r="A45" t="s">
        <v>110</v>
      </c>
      <c r="B45">
        <f>COUNTIF(Sheet1!$F$42:$AE$61,allcase!A45)</f>
        <v>0</v>
      </c>
      <c r="D45" t="s">
        <v>178</v>
      </c>
      <c r="E45">
        <v>1</v>
      </c>
      <c r="G45" t="s">
        <v>178</v>
      </c>
      <c r="H45">
        <v>1</v>
      </c>
    </row>
    <row r="46" spans="1:8" x14ac:dyDescent="0.25">
      <c r="A46" t="s">
        <v>111</v>
      </c>
      <c r="B46">
        <f>COUNTIF(Sheet1!$F$42:$AE$61,allcase!A46)</f>
        <v>0</v>
      </c>
      <c r="D46" t="s">
        <v>239</v>
      </c>
      <c r="E46">
        <v>1</v>
      </c>
      <c r="G46" t="s">
        <v>239</v>
      </c>
      <c r="H46">
        <v>1</v>
      </c>
    </row>
    <row r="47" spans="1:8" x14ac:dyDescent="0.25">
      <c r="A47" t="s">
        <v>112</v>
      </c>
      <c r="B47">
        <f>COUNTIF(Sheet1!$F$42:$AE$61,allcase!A47)</f>
        <v>0</v>
      </c>
      <c r="D47" t="s">
        <v>248</v>
      </c>
      <c r="E47">
        <v>1</v>
      </c>
      <c r="G47" t="s">
        <v>248</v>
      </c>
      <c r="H47">
        <v>1</v>
      </c>
    </row>
    <row r="48" spans="1:8" x14ac:dyDescent="0.25">
      <c r="A48" t="s">
        <v>113</v>
      </c>
      <c r="B48">
        <f>COUNTIF(Sheet1!$F$42:$AE$61,allcase!A48)</f>
        <v>1</v>
      </c>
      <c r="D48" t="s">
        <v>279</v>
      </c>
      <c r="E48">
        <v>1</v>
      </c>
      <c r="G48" t="s">
        <v>279</v>
      </c>
      <c r="H48">
        <v>1</v>
      </c>
    </row>
    <row r="49" spans="1:5" x14ac:dyDescent="0.25">
      <c r="A49" t="s">
        <v>114</v>
      </c>
      <c r="B49">
        <f>COUNTIF(Sheet1!$F$42:$AE$61,allcase!A49)</f>
        <v>0</v>
      </c>
      <c r="D49" t="s">
        <v>67</v>
      </c>
      <c r="E49">
        <v>0</v>
      </c>
    </row>
    <row r="50" spans="1:5" x14ac:dyDescent="0.25">
      <c r="A50" t="s">
        <v>115</v>
      </c>
      <c r="B50">
        <f>COUNTIF(Sheet1!$F$42:$AE$61,allcase!A50)</f>
        <v>0</v>
      </c>
      <c r="D50" t="s">
        <v>68</v>
      </c>
      <c r="E50">
        <v>0</v>
      </c>
    </row>
    <row r="51" spans="1:5" x14ac:dyDescent="0.25">
      <c r="A51" t="s">
        <v>116</v>
      </c>
      <c r="B51">
        <f>COUNTIF(Sheet1!$F$42:$AE$61,allcase!A51)</f>
        <v>0</v>
      </c>
      <c r="D51" t="s">
        <v>69</v>
      </c>
      <c r="E51">
        <v>0</v>
      </c>
    </row>
    <row r="52" spans="1:5" x14ac:dyDescent="0.25">
      <c r="A52" t="s">
        <v>117</v>
      </c>
      <c r="B52">
        <f>COUNTIF(Sheet1!$F$42:$AE$61,allcase!A52)</f>
        <v>0</v>
      </c>
      <c r="D52" t="s">
        <v>70</v>
      </c>
      <c r="E52">
        <v>0</v>
      </c>
    </row>
    <row r="53" spans="1:5" x14ac:dyDescent="0.25">
      <c r="A53" t="s">
        <v>118</v>
      </c>
      <c r="B53">
        <f>COUNTIF(Sheet1!$F$42:$AE$61,allcase!A53)</f>
        <v>0</v>
      </c>
      <c r="D53" t="s">
        <v>71</v>
      </c>
      <c r="E53">
        <v>0</v>
      </c>
    </row>
    <row r="54" spans="1:5" x14ac:dyDescent="0.25">
      <c r="A54" t="s">
        <v>119</v>
      </c>
      <c r="B54">
        <f>COUNTIF(Sheet1!$F$42:$AE$61,allcase!A54)</f>
        <v>0</v>
      </c>
      <c r="D54" t="s">
        <v>72</v>
      </c>
      <c r="E54">
        <v>0</v>
      </c>
    </row>
    <row r="55" spans="1:5" x14ac:dyDescent="0.25">
      <c r="A55" t="s">
        <v>120</v>
      </c>
      <c r="B55">
        <f>COUNTIF(Sheet1!$F$42:$AE$61,allcase!A55)</f>
        <v>0</v>
      </c>
      <c r="D55" t="s">
        <v>73</v>
      </c>
      <c r="E55">
        <v>0</v>
      </c>
    </row>
    <row r="56" spans="1:5" x14ac:dyDescent="0.25">
      <c r="A56" t="s">
        <v>121</v>
      </c>
      <c r="B56">
        <f>COUNTIF(Sheet1!$F$42:$AE$61,allcase!A56)</f>
        <v>0</v>
      </c>
      <c r="D56" t="s">
        <v>74</v>
      </c>
      <c r="E56">
        <v>0</v>
      </c>
    </row>
    <row r="57" spans="1:5" x14ac:dyDescent="0.25">
      <c r="A57" t="s">
        <v>122</v>
      </c>
      <c r="B57">
        <f>COUNTIF(Sheet1!$F$42:$AE$61,allcase!A57)</f>
        <v>0</v>
      </c>
      <c r="D57" t="s">
        <v>75</v>
      </c>
      <c r="E57">
        <v>0</v>
      </c>
    </row>
    <row r="58" spans="1:5" x14ac:dyDescent="0.25">
      <c r="A58" t="s">
        <v>123</v>
      </c>
      <c r="B58">
        <f>COUNTIF(Sheet1!$F$42:$AE$61,allcase!A58)</f>
        <v>0</v>
      </c>
      <c r="D58" t="s">
        <v>76</v>
      </c>
      <c r="E58">
        <v>0</v>
      </c>
    </row>
    <row r="59" spans="1:5" x14ac:dyDescent="0.25">
      <c r="A59" t="s">
        <v>124</v>
      </c>
      <c r="B59">
        <f>COUNTIF(Sheet1!$F$42:$AE$61,allcase!A59)</f>
        <v>0</v>
      </c>
      <c r="D59" t="s">
        <v>77</v>
      </c>
      <c r="E59">
        <v>0</v>
      </c>
    </row>
    <row r="60" spans="1:5" x14ac:dyDescent="0.25">
      <c r="A60" t="s">
        <v>125</v>
      </c>
      <c r="B60">
        <f>COUNTIF(Sheet1!$F$42:$AE$61,allcase!A60)</f>
        <v>0</v>
      </c>
      <c r="D60" t="s">
        <v>78</v>
      </c>
      <c r="E60">
        <v>0</v>
      </c>
    </row>
    <row r="61" spans="1:5" x14ac:dyDescent="0.25">
      <c r="A61" t="s">
        <v>126</v>
      </c>
      <c r="B61">
        <f>COUNTIF(Sheet1!$F$42:$AE$61,allcase!A61)</f>
        <v>0</v>
      </c>
      <c r="D61" t="s">
        <v>79</v>
      </c>
      <c r="E61">
        <v>0</v>
      </c>
    </row>
    <row r="62" spans="1:5" x14ac:dyDescent="0.25">
      <c r="A62" t="s">
        <v>127</v>
      </c>
      <c r="B62">
        <f>COUNTIF(Sheet1!$F$42:$AE$61,allcase!A62)</f>
        <v>0</v>
      </c>
      <c r="D62" t="s">
        <v>80</v>
      </c>
      <c r="E62">
        <v>0</v>
      </c>
    </row>
    <row r="63" spans="1:5" x14ac:dyDescent="0.25">
      <c r="A63" t="s">
        <v>128</v>
      </c>
      <c r="B63">
        <f>COUNTIF(Sheet1!$F$42:$AE$61,allcase!A63)</f>
        <v>0</v>
      </c>
      <c r="D63" t="s">
        <v>81</v>
      </c>
      <c r="E63">
        <v>0</v>
      </c>
    </row>
    <row r="64" spans="1:5" x14ac:dyDescent="0.25">
      <c r="A64" t="s">
        <v>129</v>
      </c>
      <c r="B64">
        <f>COUNTIF(Sheet1!$F$42:$AE$61,allcase!A64)</f>
        <v>0</v>
      </c>
      <c r="D64" t="s">
        <v>82</v>
      </c>
      <c r="E64">
        <v>0</v>
      </c>
    </row>
    <row r="65" spans="1:5" x14ac:dyDescent="0.25">
      <c r="A65" t="s">
        <v>130</v>
      </c>
      <c r="B65">
        <f>COUNTIF(Sheet1!$F$42:$AE$61,allcase!A65)</f>
        <v>0</v>
      </c>
      <c r="D65" t="s">
        <v>83</v>
      </c>
      <c r="E65">
        <v>0</v>
      </c>
    </row>
    <row r="66" spans="1:5" x14ac:dyDescent="0.25">
      <c r="A66" t="s">
        <v>131</v>
      </c>
      <c r="B66">
        <f>COUNTIF(Sheet1!$F$42:$AE$61,allcase!A66)</f>
        <v>0</v>
      </c>
      <c r="D66" t="s">
        <v>84</v>
      </c>
      <c r="E66">
        <v>0</v>
      </c>
    </row>
    <row r="67" spans="1:5" x14ac:dyDescent="0.25">
      <c r="A67" t="s">
        <v>132</v>
      </c>
      <c r="B67">
        <f>COUNTIF(Sheet1!$F$42:$AE$61,allcase!A67)</f>
        <v>0</v>
      </c>
      <c r="D67" t="s">
        <v>85</v>
      </c>
      <c r="E67">
        <v>0</v>
      </c>
    </row>
    <row r="68" spans="1:5" x14ac:dyDescent="0.25">
      <c r="A68" t="s">
        <v>133</v>
      </c>
      <c r="B68">
        <f>COUNTIF(Sheet1!$F$42:$AE$61,allcase!A68)</f>
        <v>0</v>
      </c>
      <c r="D68" t="s">
        <v>86</v>
      </c>
      <c r="E68">
        <v>0</v>
      </c>
    </row>
    <row r="69" spans="1:5" x14ac:dyDescent="0.25">
      <c r="A69" t="s">
        <v>134</v>
      </c>
      <c r="B69">
        <f>COUNTIF(Sheet1!$F$42:$AE$61,allcase!A69)</f>
        <v>0</v>
      </c>
      <c r="D69" t="s">
        <v>87</v>
      </c>
      <c r="E69">
        <v>0</v>
      </c>
    </row>
    <row r="70" spans="1:5" x14ac:dyDescent="0.25">
      <c r="A70" t="s">
        <v>135</v>
      </c>
      <c r="B70">
        <f>COUNTIF(Sheet1!$F$42:$AE$61,allcase!A70)</f>
        <v>0</v>
      </c>
      <c r="D70" t="s">
        <v>88</v>
      </c>
      <c r="E70">
        <v>0</v>
      </c>
    </row>
    <row r="71" spans="1:5" x14ac:dyDescent="0.25">
      <c r="A71" t="s">
        <v>136</v>
      </c>
      <c r="B71">
        <f>COUNTIF(Sheet1!$F$42:$AE$61,allcase!A71)</f>
        <v>0</v>
      </c>
      <c r="D71" t="s">
        <v>89</v>
      </c>
      <c r="E71">
        <v>0</v>
      </c>
    </row>
    <row r="72" spans="1:5" x14ac:dyDescent="0.25">
      <c r="A72" t="s">
        <v>137</v>
      </c>
      <c r="B72">
        <f>COUNTIF(Sheet1!$F$42:$AE$61,allcase!A72)</f>
        <v>0</v>
      </c>
      <c r="D72" t="s">
        <v>90</v>
      </c>
      <c r="E72">
        <v>0</v>
      </c>
    </row>
    <row r="73" spans="1:5" x14ac:dyDescent="0.25">
      <c r="A73" t="s">
        <v>138</v>
      </c>
      <c r="B73">
        <f>COUNTIF(Sheet1!$F$42:$AE$61,allcase!A73)</f>
        <v>2</v>
      </c>
      <c r="D73" t="s">
        <v>91</v>
      </c>
      <c r="E73">
        <v>0</v>
      </c>
    </row>
    <row r="74" spans="1:5" x14ac:dyDescent="0.25">
      <c r="A74" t="s">
        <v>139</v>
      </c>
      <c r="B74">
        <f>COUNTIF(Sheet1!$F$42:$AE$61,allcase!A74)</f>
        <v>0</v>
      </c>
      <c r="D74" t="s">
        <v>92</v>
      </c>
      <c r="E74">
        <v>0</v>
      </c>
    </row>
    <row r="75" spans="1:5" x14ac:dyDescent="0.25">
      <c r="A75" t="s">
        <v>140</v>
      </c>
      <c r="B75">
        <f>COUNTIF(Sheet1!$F$42:$AE$61,allcase!A75)</f>
        <v>8</v>
      </c>
      <c r="D75" t="s">
        <v>93</v>
      </c>
      <c r="E75">
        <v>0</v>
      </c>
    </row>
    <row r="76" spans="1:5" x14ac:dyDescent="0.25">
      <c r="A76" t="s">
        <v>141</v>
      </c>
      <c r="B76">
        <f>COUNTIF(Sheet1!$F$42:$AE$61,allcase!A76)</f>
        <v>0</v>
      </c>
      <c r="D76" t="s">
        <v>94</v>
      </c>
      <c r="E76">
        <v>0</v>
      </c>
    </row>
    <row r="77" spans="1:5" x14ac:dyDescent="0.25">
      <c r="A77" t="s">
        <v>142</v>
      </c>
      <c r="B77">
        <f>COUNTIF(Sheet1!$F$42:$AE$61,allcase!A77)</f>
        <v>0</v>
      </c>
      <c r="D77" t="s">
        <v>95</v>
      </c>
      <c r="E77">
        <v>0</v>
      </c>
    </row>
    <row r="78" spans="1:5" x14ac:dyDescent="0.25">
      <c r="A78" t="s">
        <v>143</v>
      </c>
      <c r="B78">
        <f>COUNTIF(Sheet1!$F$42:$AE$61,allcase!A78)</f>
        <v>10</v>
      </c>
      <c r="D78" t="s">
        <v>96</v>
      </c>
      <c r="E78">
        <v>0</v>
      </c>
    </row>
    <row r="79" spans="1:5" x14ac:dyDescent="0.25">
      <c r="A79" t="s">
        <v>144</v>
      </c>
      <c r="B79">
        <f>COUNTIF(Sheet1!$F$42:$AE$61,allcase!A79)</f>
        <v>0</v>
      </c>
      <c r="D79" t="s">
        <v>97</v>
      </c>
      <c r="E79">
        <v>0</v>
      </c>
    </row>
    <row r="80" spans="1:5" x14ac:dyDescent="0.25">
      <c r="A80" t="s">
        <v>145</v>
      </c>
      <c r="B80">
        <f>COUNTIF(Sheet1!$F$42:$AE$61,allcase!A80)</f>
        <v>0</v>
      </c>
      <c r="D80" t="s">
        <v>98</v>
      </c>
      <c r="E80">
        <v>0</v>
      </c>
    </row>
    <row r="81" spans="1:5" x14ac:dyDescent="0.25">
      <c r="A81" t="s">
        <v>146</v>
      </c>
      <c r="B81">
        <f>COUNTIF(Sheet1!$F$42:$AE$61,allcase!A81)</f>
        <v>0</v>
      </c>
      <c r="D81" t="s">
        <v>99</v>
      </c>
      <c r="E81">
        <v>0</v>
      </c>
    </row>
    <row r="82" spans="1:5" x14ac:dyDescent="0.25">
      <c r="A82" t="s">
        <v>147</v>
      </c>
      <c r="B82">
        <f>COUNTIF(Sheet1!$F$42:$AE$61,allcase!A82)</f>
        <v>0</v>
      </c>
      <c r="D82" t="s">
        <v>100</v>
      </c>
      <c r="E82">
        <v>0</v>
      </c>
    </row>
    <row r="83" spans="1:5" x14ac:dyDescent="0.25">
      <c r="A83" t="s">
        <v>148</v>
      </c>
      <c r="B83">
        <f>COUNTIF(Sheet1!$F$42:$AE$61,allcase!A83)</f>
        <v>0</v>
      </c>
      <c r="D83" t="s">
        <v>101</v>
      </c>
      <c r="E83">
        <v>0</v>
      </c>
    </row>
    <row r="84" spans="1:5" x14ac:dyDescent="0.25">
      <c r="A84" t="s">
        <v>149</v>
      </c>
      <c r="B84">
        <f>COUNTIF(Sheet1!$F$42:$AE$61,allcase!A84)</f>
        <v>9</v>
      </c>
      <c r="D84" t="s">
        <v>102</v>
      </c>
      <c r="E84">
        <v>0</v>
      </c>
    </row>
    <row r="85" spans="1:5" x14ac:dyDescent="0.25">
      <c r="A85" t="s">
        <v>150</v>
      </c>
      <c r="B85">
        <f>COUNTIF(Sheet1!$F$42:$AE$61,allcase!A85)</f>
        <v>4</v>
      </c>
      <c r="D85" t="s">
        <v>103</v>
      </c>
      <c r="E85">
        <v>0</v>
      </c>
    </row>
    <row r="86" spans="1:5" x14ac:dyDescent="0.25">
      <c r="A86" t="s">
        <v>151</v>
      </c>
      <c r="B86">
        <f>COUNTIF(Sheet1!$F$42:$AE$61,allcase!A86)</f>
        <v>0</v>
      </c>
      <c r="D86" t="s">
        <v>104</v>
      </c>
      <c r="E86">
        <v>0</v>
      </c>
    </row>
    <row r="87" spans="1:5" x14ac:dyDescent="0.25">
      <c r="A87" t="s">
        <v>152</v>
      </c>
      <c r="B87">
        <f>COUNTIF(Sheet1!$F$42:$AE$61,allcase!A87)</f>
        <v>8</v>
      </c>
      <c r="D87" t="s">
        <v>105</v>
      </c>
      <c r="E87">
        <v>0</v>
      </c>
    </row>
    <row r="88" spans="1:5" x14ac:dyDescent="0.25">
      <c r="A88" t="s">
        <v>153</v>
      </c>
      <c r="B88">
        <f>COUNTIF(Sheet1!$F$42:$AE$61,allcase!A88)</f>
        <v>0</v>
      </c>
      <c r="D88" t="s">
        <v>106</v>
      </c>
      <c r="E88">
        <v>0</v>
      </c>
    </row>
    <row r="89" spans="1:5" x14ac:dyDescent="0.25">
      <c r="A89" t="s">
        <v>154</v>
      </c>
      <c r="B89">
        <f>COUNTIF(Sheet1!$F$42:$AE$61,allcase!A89)</f>
        <v>0</v>
      </c>
      <c r="D89" t="s">
        <v>107</v>
      </c>
      <c r="E89">
        <v>0</v>
      </c>
    </row>
    <row r="90" spans="1:5" x14ac:dyDescent="0.25">
      <c r="A90" t="s">
        <v>155</v>
      </c>
      <c r="B90">
        <f>COUNTIF(Sheet1!$F$42:$AE$61,allcase!A90)</f>
        <v>10</v>
      </c>
      <c r="D90" t="s">
        <v>108</v>
      </c>
      <c r="E90">
        <v>0</v>
      </c>
    </row>
    <row r="91" spans="1:5" x14ac:dyDescent="0.25">
      <c r="A91" t="s">
        <v>156</v>
      </c>
      <c r="B91">
        <f>COUNTIF(Sheet1!$F$42:$AE$61,allcase!A91)</f>
        <v>4</v>
      </c>
      <c r="D91" t="s">
        <v>109</v>
      </c>
      <c r="E91">
        <v>0</v>
      </c>
    </row>
    <row r="92" spans="1:5" x14ac:dyDescent="0.25">
      <c r="A92" t="s">
        <v>157</v>
      </c>
      <c r="B92">
        <f>COUNTIF(Sheet1!$F$42:$AE$61,allcase!A92)</f>
        <v>0</v>
      </c>
      <c r="D92" t="s">
        <v>110</v>
      </c>
      <c r="E92">
        <v>0</v>
      </c>
    </row>
    <row r="93" spans="1:5" x14ac:dyDescent="0.25">
      <c r="A93" t="s">
        <v>158</v>
      </c>
      <c r="B93">
        <f>COUNTIF(Sheet1!$F$42:$AE$61,allcase!A93)</f>
        <v>10</v>
      </c>
      <c r="D93" t="s">
        <v>111</v>
      </c>
      <c r="E93">
        <v>0</v>
      </c>
    </row>
    <row r="94" spans="1:5" x14ac:dyDescent="0.25">
      <c r="A94" t="s">
        <v>159</v>
      </c>
      <c r="B94">
        <f>COUNTIF(Sheet1!$F$42:$AE$61,allcase!A94)</f>
        <v>0</v>
      </c>
      <c r="D94" t="s">
        <v>112</v>
      </c>
      <c r="E94">
        <v>0</v>
      </c>
    </row>
    <row r="95" spans="1:5" x14ac:dyDescent="0.25">
      <c r="A95" t="s">
        <v>160</v>
      </c>
      <c r="B95">
        <f>COUNTIF(Sheet1!$F$42:$AE$61,allcase!A95)</f>
        <v>1</v>
      </c>
      <c r="D95" t="s">
        <v>114</v>
      </c>
      <c r="E95">
        <v>0</v>
      </c>
    </row>
    <row r="96" spans="1:5" x14ac:dyDescent="0.25">
      <c r="A96" t="s">
        <v>161</v>
      </c>
      <c r="B96">
        <f>COUNTIF(Sheet1!$F$42:$AE$61,allcase!A96)</f>
        <v>10</v>
      </c>
      <c r="D96" t="s">
        <v>115</v>
      </c>
      <c r="E96">
        <v>0</v>
      </c>
    </row>
    <row r="97" spans="1:5" x14ac:dyDescent="0.25">
      <c r="A97" t="s">
        <v>162</v>
      </c>
      <c r="B97">
        <f>COUNTIF(Sheet1!$F$42:$AE$61,allcase!A97)</f>
        <v>0</v>
      </c>
      <c r="D97" t="s">
        <v>116</v>
      </c>
      <c r="E97">
        <v>0</v>
      </c>
    </row>
    <row r="98" spans="1:5" x14ac:dyDescent="0.25">
      <c r="A98" t="s">
        <v>163</v>
      </c>
      <c r="B98">
        <f>COUNTIF(Sheet1!$F$42:$AE$61,allcase!A98)</f>
        <v>0</v>
      </c>
      <c r="D98" t="s">
        <v>117</v>
      </c>
      <c r="E98">
        <v>0</v>
      </c>
    </row>
    <row r="99" spans="1:5" x14ac:dyDescent="0.25">
      <c r="A99" t="s">
        <v>164</v>
      </c>
      <c r="B99">
        <f>COUNTIF(Sheet1!$F$42:$AE$61,allcase!A99)</f>
        <v>4</v>
      </c>
      <c r="D99" t="s">
        <v>118</v>
      </c>
      <c r="E99">
        <v>0</v>
      </c>
    </row>
    <row r="100" spans="1:5" x14ac:dyDescent="0.25">
      <c r="A100" t="s">
        <v>165</v>
      </c>
      <c r="B100">
        <f>COUNTIF(Sheet1!$F$42:$AE$61,allcase!A100)</f>
        <v>0</v>
      </c>
      <c r="D100" t="s">
        <v>119</v>
      </c>
      <c r="E100">
        <v>0</v>
      </c>
    </row>
    <row r="101" spans="1:5" x14ac:dyDescent="0.25">
      <c r="A101" t="s">
        <v>166</v>
      </c>
      <c r="B101">
        <f>COUNTIF(Sheet1!$F$42:$AE$61,allcase!A101)</f>
        <v>0</v>
      </c>
      <c r="D101" t="s">
        <v>120</v>
      </c>
      <c r="E101">
        <v>0</v>
      </c>
    </row>
    <row r="102" spans="1:5" x14ac:dyDescent="0.25">
      <c r="A102" t="s">
        <v>167</v>
      </c>
      <c r="B102">
        <f>COUNTIF(Sheet1!$F$42:$AE$61,allcase!A102)</f>
        <v>5</v>
      </c>
      <c r="D102" t="s">
        <v>121</v>
      </c>
      <c r="E102">
        <v>0</v>
      </c>
    </row>
    <row r="103" spans="1:5" x14ac:dyDescent="0.25">
      <c r="A103" t="s">
        <v>168</v>
      </c>
      <c r="B103">
        <f>COUNTIF(Sheet1!$F$42:$AE$61,allcase!A103)</f>
        <v>2</v>
      </c>
      <c r="D103" t="s">
        <v>122</v>
      </c>
      <c r="E103">
        <v>0</v>
      </c>
    </row>
    <row r="104" spans="1:5" x14ac:dyDescent="0.25">
      <c r="A104" t="s">
        <v>169</v>
      </c>
      <c r="B104">
        <f>COUNTIF(Sheet1!$F$42:$AE$61,allcase!A104)</f>
        <v>0</v>
      </c>
      <c r="D104" t="s">
        <v>123</v>
      </c>
      <c r="E104">
        <v>0</v>
      </c>
    </row>
    <row r="105" spans="1:5" x14ac:dyDescent="0.25">
      <c r="A105" t="s">
        <v>170</v>
      </c>
      <c r="B105">
        <f>COUNTIF(Sheet1!$F$42:$AE$61,allcase!A105)</f>
        <v>5</v>
      </c>
      <c r="D105" t="s">
        <v>124</v>
      </c>
      <c r="E105">
        <v>0</v>
      </c>
    </row>
    <row r="106" spans="1:5" x14ac:dyDescent="0.25">
      <c r="A106" t="s">
        <v>171</v>
      </c>
      <c r="B106">
        <f>COUNTIF(Sheet1!$F$42:$AE$61,allcase!A106)</f>
        <v>0</v>
      </c>
      <c r="D106" t="s">
        <v>125</v>
      </c>
      <c r="E106">
        <v>0</v>
      </c>
    </row>
    <row r="107" spans="1:5" x14ac:dyDescent="0.25">
      <c r="A107" t="s">
        <v>172</v>
      </c>
      <c r="B107">
        <f>COUNTIF(Sheet1!$F$42:$AE$61,allcase!A107)</f>
        <v>5</v>
      </c>
      <c r="D107" t="s">
        <v>126</v>
      </c>
      <c r="E107">
        <v>0</v>
      </c>
    </row>
    <row r="108" spans="1:5" x14ac:dyDescent="0.25">
      <c r="A108" t="s">
        <v>173</v>
      </c>
      <c r="B108">
        <f>COUNTIF(Sheet1!$F$42:$AE$61,allcase!A108)</f>
        <v>10</v>
      </c>
      <c r="D108" t="s">
        <v>127</v>
      </c>
      <c r="E108">
        <v>0</v>
      </c>
    </row>
    <row r="109" spans="1:5" x14ac:dyDescent="0.25">
      <c r="A109" t="s">
        <v>174</v>
      </c>
      <c r="B109">
        <f>COUNTIF(Sheet1!$F$42:$AE$61,allcase!A109)</f>
        <v>0</v>
      </c>
      <c r="D109" t="s">
        <v>128</v>
      </c>
      <c r="E109">
        <v>0</v>
      </c>
    </row>
    <row r="110" spans="1:5" x14ac:dyDescent="0.25">
      <c r="A110" t="s">
        <v>175</v>
      </c>
      <c r="B110">
        <f>COUNTIF(Sheet1!$F$42:$AE$61,allcase!A110)</f>
        <v>0</v>
      </c>
      <c r="D110" t="s">
        <v>129</v>
      </c>
      <c r="E110">
        <v>0</v>
      </c>
    </row>
    <row r="111" spans="1:5" x14ac:dyDescent="0.25">
      <c r="A111" t="s">
        <v>176</v>
      </c>
      <c r="B111">
        <f>COUNTIF(Sheet1!$F$42:$AE$61,allcase!A111)</f>
        <v>5</v>
      </c>
      <c r="D111" t="s">
        <v>130</v>
      </c>
      <c r="E111">
        <v>0</v>
      </c>
    </row>
    <row r="112" spans="1:5" x14ac:dyDescent="0.25">
      <c r="A112" t="s">
        <v>177</v>
      </c>
      <c r="B112">
        <f>COUNTIF(Sheet1!$F$42:$AE$61,allcase!A112)</f>
        <v>0</v>
      </c>
      <c r="D112" t="s">
        <v>131</v>
      </c>
      <c r="E112">
        <v>0</v>
      </c>
    </row>
    <row r="113" spans="1:5" x14ac:dyDescent="0.25">
      <c r="A113" t="s">
        <v>178</v>
      </c>
      <c r="B113">
        <f>COUNTIF(Sheet1!$F$42:$AE$61,allcase!A113)</f>
        <v>1</v>
      </c>
      <c r="D113" t="s">
        <v>132</v>
      </c>
      <c r="E113">
        <v>0</v>
      </c>
    </row>
    <row r="114" spans="1:5" x14ac:dyDescent="0.25">
      <c r="A114" t="s">
        <v>179</v>
      </c>
      <c r="B114">
        <f>COUNTIF(Sheet1!$F$42:$AE$61,allcase!A114)</f>
        <v>9</v>
      </c>
      <c r="D114" t="s">
        <v>133</v>
      </c>
      <c r="E114">
        <v>0</v>
      </c>
    </row>
    <row r="115" spans="1:5" x14ac:dyDescent="0.25">
      <c r="A115" t="s">
        <v>180</v>
      </c>
      <c r="B115">
        <f>COUNTIF(Sheet1!$F$42:$AE$61,allcase!A115)</f>
        <v>2</v>
      </c>
      <c r="D115" t="s">
        <v>134</v>
      </c>
      <c r="E115">
        <v>0</v>
      </c>
    </row>
    <row r="116" spans="1:5" x14ac:dyDescent="0.25">
      <c r="A116" t="s">
        <v>181</v>
      </c>
      <c r="B116">
        <f>COUNTIF(Sheet1!$F$42:$AE$61,allcase!A116)</f>
        <v>0</v>
      </c>
      <c r="D116" t="s">
        <v>135</v>
      </c>
      <c r="E116">
        <v>0</v>
      </c>
    </row>
    <row r="117" spans="1:5" x14ac:dyDescent="0.25">
      <c r="A117" t="s">
        <v>182</v>
      </c>
      <c r="B117">
        <f>COUNTIF(Sheet1!$F$42:$AE$61,allcase!A117)</f>
        <v>10</v>
      </c>
      <c r="D117" t="s">
        <v>136</v>
      </c>
      <c r="E117">
        <v>0</v>
      </c>
    </row>
    <row r="118" spans="1:5" x14ac:dyDescent="0.25">
      <c r="A118" t="s">
        <v>183</v>
      </c>
      <c r="B118">
        <f>COUNTIF(Sheet1!$F$42:$AE$61,allcase!A118)</f>
        <v>0</v>
      </c>
      <c r="D118" t="s">
        <v>137</v>
      </c>
      <c r="E118">
        <v>0</v>
      </c>
    </row>
    <row r="119" spans="1:5" x14ac:dyDescent="0.25">
      <c r="A119" t="s">
        <v>184</v>
      </c>
      <c r="B119">
        <f>COUNTIF(Sheet1!$F$42:$AE$61,allcase!A119)</f>
        <v>6</v>
      </c>
      <c r="D119" t="s">
        <v>139</v>
      </c>
      <c r="E119">
        <v>0</v>
      </c>
    </row>
    <row r="120" spans="1:5" x14ac:dyDescent="0.25">
      <c r="A120" t="s">
        <v>185</v>
      </c>
      <c r="B120">
        <f>COUNTIF(Sheet1!$F$42:$AE$61,allcase!A120)</f>
        <v>10</v>
      </c>
      <c r="D120" t="s">
        <v>141</v>
      </c>
      <c r="E120">
        <v>0</v>
      </c>
    </row>
    <row r="121" spans="1:5" x14ac:dyDescent="0.25">
      <c r="A121" t="s">
        <v>186</v>
      </c>
      <c r="B121">
        <f>COUNTIF(Sheet1!$F$42:$AE$61,allcase!A121)</f>
        <v>0</v>
      </c>
      <c r="D121" t="s">
        <v>142</v>
      </c>
      <c r="E121">
        <v>0</v>
      </c>
    </row>
    <row r="122" spans="1:5" x14ac:dyDescent="0.25">
      <c r="A122" t="s">
        <v>187</v>
      </c>
      <c r="B122">
        <f>COUNTIF(Sheet1!$F$42:$AE$61,allcase!A122)</f>
        <v>0</v>
      </c>
      <c r="D122" t="s">
        <v>144</v>
      </c>
      <c r="E122">
        <v>0</v>
      </c>
    </row>
    <row r="123" spans="1:5" x14ac:dyDescent="0.25">
      <c r="A123" t="s">
        <v>188</v>
      </c>
      <c r="B123">
        <f>COUNTIF(Sheet1!$F$42:$AE$61,allcase!A123)</f>
        <v>0</v>
      </c>
      <c r="D123" t="s">
        <v>145</v>
      </c>
      <c r="E123">
        <v>0</v>
      </c>
    </row>
    <row r="124" spans="1:5" x14ac:dyDescent="0.25">
      <c r="A124" t="s">
        <v>189</v>
      </c>
      <c r="B124">
        <f>COUNTIF(Sheet1!$F$42:$AE$61,allcase!A124)</f>
        <v>0</v>
      </c>
      <c r="D124" t="s">
        <v>146</v>
      </c>
      <c r="E124">
        <v>0</v>
      </c>
    </row>
    <row r="125" spans="1:5" x14ac:dyDescent="0.25">
      <c r="A125" t="s">
        <v>190</v>
      </c>
      <c r="B125">
        <f>COUNTIF(Sheet1!$F$42:$AE$61,allcase!A125)</f>
        <v>0</v>
      </c>
      <c r="D125" t="s">
        <v>147</v>
      </c>
      <c r="E125">
        <v>0</v>
      </c>
    </row>
    <row r="126" spans="1:5" x14ac:dyDescent="0.25">
      <c r="A126" t="s">
        <v>191</v>
      </c>
      <c r="B126">
        <f>COUNTIF(Sheet1!$F$42:$AE$61,allcase!A126)</f>
        <v>0</v>
      </c>
      <c r="D126" t="s">
        <v>148</v>
      </c>
      <c r="E126">
        <v>0</v>
      </c>
    </row>
    <row r="127" spans="1:5" x14ac:dyDescent="0.25">
      <c r="A127" t="s">
        <v>192</v>
      </c>
      <c r="B127">
        <f>COUNTIF(Sheet1!$F$42:$AE$61,allcase!A127)</f>
        <v>0</v>
      </c>
      <c r="D127" t="s">
        <v>151</v>
      </c>
      <c r="E127">
        <v>0</v>
      </c>
    </row>
    <row r="128" spans="1:5" x14ac:dyDescent="0.25">
      <c r="A128" t="s">
        <v>193</v>
      </c>
      <c r="B128">
        <f>COUNTIF(Sheet1!$F$42:$AE$61,allcase!A128)</f>
        <v>0</v>
      </c>
      <c r="D128" t="s">
        <v>153</v>
      </c>
      <c r="E128">
        <v>0</v>
      </c>
    </row>
    <row r="129" spans="1:5" x14ac:dyDescent="0.25">
      <c r="A129" t="s">
        <v>194</v>
      </c>
      <c r="B129">
        <f>COUNTIF(Sheet1!$F$42:$AE$61,allcase!A129)</f>
        <v>0</v>
      </c>
      <c r="D129" t="s">
        <v>154</v>
      </c>
      <c r="E129">
        <v>0</v>
      </c>
    </row>
    <row r="130" spans="1:5" x14ac:dyDescent="0.25">
      <c r="A130" t="s">
        <v>195</v>
      </c>
      <c r="B130">
        <f>COUNTIF(Sheet1!$F$42:$AE$61,allcase!A130)</f>
        <v>0</v>
      </c>
      <c r="D130" t="s">
        <v>157</v>
      </c>
      <c r="E130">
        <v>0</v>
      </c>
    </row>
    <row r="131" spans="1:5" x14ac:dyDescent="0.25">
      <c r="A131" t="s">
        <v>196</v>
      </c>
      <c r="B131">
        <f>COUNTIF(Sheet1!$F$42:$AE$61,allcase!A131)</f>
        <v>0</v>
      </c>
      <c r="D131" t="s">
        <v>159</v>
      </c>
      <c r="E131">
        <v>0</v>
      </c>
    </row>
    <row r="132" spans="1:5" x14ac:dyDescent="0.25">
      <c r="A132" t="s">
        <v>197</v>
      </c>
      <c r="B132">
        <f>COUNTIF(Sheet1!$F$42:$AE$61,allcase!A132)</f>
        <v>0</v>
      </c>
      <c r="D132" t="s">
        <v>162</v>
      </c>
      <c r="E132">
        <v>0</v>
      </c>
    </row>
    <row r="133" spans="1:5" x14ac:dyDescent="0.25">
      <c r="A133" t="s">
        <v>198</v>
      </c>
      <c r="B133">
        <f>COUNTIF(Sheet1!$F$42:$AE$61,allcase!A133)</f>
        <v>0</v>
      </c>
      <c r="D133" t="s">
        <v>163</v>
      </c>
      <c r="E133">
        <v>0</v>
      </c>
    </row>
    <row r="134" spans="1:5" x14ac:dyDescent="0.25">
      <c r="A134" t="s">
        <v>199</v>
      </c>
      <c r="B134">
        <f>COUNTIF(Sheet1!$F$42:$AE$61,allcase!A134)</f>
        <v>0</v>
      </c>
      <c r="D134" t="s">
        <v>165</v>
      </c>
      <c r="E134">
        <v>0</v>
      </c>
    </row>
    <row r="135" spans="1:5" x14ac:dyDescent="0.25">
      <c r="A135" t="s">
        <v>200</v>
      </c>
      <c r="B135">
        <f>COUNTIF(Sheet1!$F$42:$AE$61,allcase!A135)</f>
        <v>0</v>
      </c>
      <c r="D135" t="s">
        <v>166</v>
      </c>
      <c r="E135">
        <v>0</v>
      </c>
    </row>
    <row r="136" spans="1:5" x14ac:dyDescent="0.25">
      <c r="A136" t="s">
        <v>201</v>
      </c>
      <c r="B136">
        <f>COUNTIF(Sheet1!$F$42:$AE$61,allcase!A136)</f>
        <v>0</v>
      </c>
      <c r="D136" t="s">
        <v>169</v>
      </c>
      <c r="E136">
        <v>0</v>
      </c>
    </row>
    <row r="137" spans="1:5" x14ac:dyDescent="0.25">
      <c r="A137" t="s">
        <v>202</v>
      </c>
      <c r="B137">
        <f>COUNTIF(Sheet1!$F$42:$AE$61,allcase!A137)</f>
        <v>0</v>
      </c>
      <c r="D137" t="s">
        <v>171</v>
      </c>
      <c r="E137">
        <v>0</v>
      </c>
    </row>
    <row r="138" spans="1:5" x14ac:dyDescent="0.25">
      <c r="A138" t="s">
        <v>203</v>
      </c>
      <c r="B138">
        <f>COUNTIF(Sheet1!$F$42:$AE$61,allcase!A138)</f>
        <v>0</v>
      </c>
      <c r="D138" t="s">
        <v>174</v>
      </c>
      <c r="E138">
        <v>0</v>
      </c>
    </row>
    <row r="139" spans="1:5" x14ac:dyDescent="0.25">
      <c r="A139" t="s">
        <v>204</v>
      </c>
      <c r="B139">
        <f>COUNTIF(Sheet1!$F$42:$AE$61,allcase!A139)</f>
        <v>0</v>
      </c>
      <c r="D139" t="s">
        <v>175</v>
      </c>
      <c r="E139">
        <v>0</v>
      </c>
    </row>
    <row r="140" spans="1:5" x14ac:dyDescent="0.25">
      <c r="A140" t="s">
        <v>205</v>
      </c>
      <c r="B140">
        <f>COUNTIF(Sheet1!$F$42:$AE$61,allcase!A140)</f>
        <v>0</v>
      </c>
      <c r="D140" t="s">
        <v>177</v>
      </c>
      <c r="E140">
        <v>0</v>
      </c>
    </row>
    <row r="141" spans="1:5" x14ac:dyDescent="0.25">
      <c r="A141" t="s">
        <v>206</v>
      </c>
      <c r="B141">
        <f>COUNTIF(Sheet1!$F$42:$AE$61,allcase!A141)</f>
        <v>0</v>
      </c>
      <c r="D141" t="s">
        <v>181</v>
      </c>
      <c r="E141">
        <v>0</v>
      </c>
    </row>
    <row r="142" spans="1:5" x14ac:dyDescent="0.25">
      <c r="A142" t="s">
        <v>207</v>
      </c>
      <c r="B142">
        <f>COUNTIF(Sheet1!$F$42:$AE$61,allcase!A142)</f>
        <v>0</v>
      </c>
      <c r="D142" t="s">
        <v>183</v>
      </c>
      <c r="E142">
        <v>0</v>
      </c>
    </row>
    <row r="143" spans="1:5" x14ac:dyDescent="0.25">
      <c r="A143" t="s">
        <v>208</v>
      </c>
      <c r="B143">
        <f>COUNTIF(Sheet1!$F$42:$AE$61,allcase!A143)</f>
        <v>0</v>
      </c>
      <c r="D143" t="s">
        <v>186</v>
      </c>
      <c r="E143">
        <v>0</v>
      </c>
    </row>
    <row r="144" spans="1:5" x14ac:dyDescent="0.25">
      <c r="A144" t="s">
        <v>209</v>
      </c>
      <c r="B144">
        <f>COUNTIF(Sheet1!$F$42:$AE$61,allcase!A144)</f>
        <v>0</v>
      </c>
      <c r="D144" t="s">
        <v>187</v>
      </c>
      <c r="E144">
        <v>0</v>
      </c>
    </row>
    <row r="145" spans="1:5" x14ac:dyDescent="0.25">
      <c r="A145" t="s">
        <v>210</v>
      </c>
      <c r="B145">
        <f>COUNTIF(Sheet1!$F$42:$AE$61,allcase!A145)</f>
        <v>0</v>
      </c>
      <c r="D145" t="s">
        <v>188</v>
      </c>
      <c r="E145">
        <v>0</v>
      </c>
    </row>
    <row r="146" spans="1:5" x14ac:dyDescent="0.25">
      <c r="A146" t="s">
        <v>211</v>
      </c>
      <c r="B146">
        <f>COUNTIF(Sheet1!$F$42:$AE$61,allcase!A146)</f>
        <v>0</v>
      </c>
      <c r="D146" t="s">
        <v>189</v>
      </c>
      <c r="E146">
        <v>0</v>
      </c>
    </row>
    <row r="147" spans="1:5" x14ac:dyDescent="0.25">
      <c r="A147" t="s">
        <v>212</v>
      </c>
      <c r="B147">
        <f>COUNTIF(Sheet1!$F$42:$AE$61,allcase!A147)</f>
        <v>0</v>
      </c>
      <c r="D147" t="s">
        <v>190</v>
      </c>
      <c r="E147">
        <v>0</v>
      </c>
    </row>
    <row r="148" spans="1:5" x14ac:dyDescent="0.25">
      <c r="A148" t="s">
        <v>213</v>
      </c>
      <c r="B148">
        <f>COUNTIF(Sheet1!$F$42:$AE$61,allcase!A148)</f>
        <v>0</v>
      </c>
      <c r="D148" t="s">
        <v>191</v>
      </c>
      <c r="E148">
        <v>0</v>
      </c>
    </row>
    <row r="149" spans="1:5" x14ac:dyDescent="0.25">
      <c r="A149" t="s">
        <v>214</v>
      </c>
      <c r="B149">
        <f>COUNTIF(Sheet1!$F$42:$AE$61,allcase!A149)</f>
        <v>0</v>
      </c>
      <c r="D149" t="s">
        <v>192</v>
      </c>
      <c r="E149">
        <v>0</v>
      </c>
    </row>
    <row r="150" spans="1:5" x14ac:dyDescent="0.25">
      <c r="A150" t="s">
        <v>215</v>
      </c>
      <c r="B150">
        <f>COUNTIF(Sheet1!$F$42:$AE$61,allcase!A150)</f>
        <v>0</v>
      </c>
      <c r="D150" t="s">
        <v>193</v>
      </c>
      <c r="E150">
        <v>0</v>
      </c>
    </row>
    <row r="151" spans="1:5" x14ac:dyDescent="0.25">
      <c r="A151" t="s">
        <v>216</v>
      </c>
      <c r="B151">
        <f>COUNTIF(Sheet1!$F$42:$AE$61,allcase!A151)</f>
        <v>0</v>
      </c>
      <c r="D151" t="s">
        <v>194</v>
      </c>
      <c r="E151">
        <v>0</v>
      </c>
    </row>
    <row r="152" spans="1:5" x14ac:dyDescent="0.25">
      <c r="A152" t="s">
        <v>217</v>
      </c>
      <c r="B152">
        <f>COUNTIF(Sheet1!$F$42:$AE$61,allcase!A152)</f>
        <v>0</v>
      </c>
      <c r="D152" t="s">
        <v>195</v>
      </c>
      <c r="E152">
        <v>0</v>
      </c>
    </row>
    <row r="153" spans="1:5" x14ac:dyDescent="0.25">
      <c r="A153" t="s">
        <v>218</v>
      </c>
      <c r="B153">
        <f>COUNTIF(Sheet1!$F$42:$AE$61,allcase!A153)</f>
        <v>0</v>
      </c>
      <c r="D153" t="s">
        <v>196</v>
      </c>
      <c r="E153">
        <v>0</v>
      </c>
    </row>
    <row r="154" spans="1:5" x14ac:dyDescent="0.25">
      <c r="A154" t="s">
        <v>219</v>
      </c>
      <c r="B154">
        <f>COUNTIF(Sheet1!$F$42:$AE$61,allcase!A154)</f>
        <v>0</v>
      </c>
      <c r="D154" t="s">
        <v>197</v>
      </c>
      <c r="E154">
        <v>0</v>
      </c>
    </row>
    <row r="155" spans="1:5" x14ac:dyDescent="0.25">
      <c r="A155" t="s">
        <v>220</v>
      </c>
      <c r="B155">
        <f>COUNTIF(Sheet1!$F$42:$AE$61,allcase!A155)</f>
        <v>0</v>
      </c>
      <c r="D155" t="s">
        <v>198</v>
      </c>
      <c r="E155">
        <v>0</v>
      </c>
    </row>
    <row r="156" spans="1:5" x14ac:dyDescent="0.25">
      <c r="A156" t="s">
        <v>221</v>
      </c>
      <c r="B156">
        <f>COUNTIF(Sheet1!$F$42:$AE$61,allcase!A156)</f>
        <v>0</v>
      </c>
      <c r="D156" t="s">
        <v>199</v>
      </c>
      <c r="E156">
        <v>0</v>
      </c>
    </row>
    <row r="157" spans="1:5" x14ac:dyDescent="0.25">
      <c r="A157" t="s">
        <v>222</v>
      </c>
      <c r="B157">
        <f>COUNTIF(Sheet1!$F$42:$AE$61,allcase!A157)</f>
        <v>0</v>
      </c>
      <c r="D157" t="s">
        <v>200</v>
      </c>
      <c r="E157">
        <v>0</v>
      </c>
    </row>
    <row r="158" spans="1:5" x14ac:dyDescent="0.25">
      <c r="A158" t="s">
        <v>223</v>
      </c>
      <c r="B158">
        <f>COUNTIF(Sheet1!$F$42:$AE$61,allcase!A158)</f>
        <v>2</v>
      </c>
      <c r="D158" t="s">
        <v>201</v>
      </c>
      <c r="E158">
        <v>0</v>
      </c>
    </row>
    <row r="159" spans="1:5" x14ac:dyDescent="0.25">
      <c r="A159" t="s">
        <v>224</v>
      </c>
      <c r="B159">
        <f>COUNTIF(Sheet1!$F$42:$AE$61,allcase!A159)</f>
        <v>0</v>
      </c>
      <c r="D159" t="s">
        <v>202</v>
      </c>
      <c r="E159">
        <v>0</v>
      </c>
    </row>
    <row r="160" spans="1:5" x14ac:dyDescent="0.25">
      <c r="A160" t="s">
        <v>225</v>
      </c>
      <c r="B160">
        <f>COUNTIF(Sheet1!$F$42:$AE$61,allcase!A160)</f>
        <v>0</v>
      </c>
      <c r="D160" t="s">
        <v>203</v>
      </c>
      <c r="E160">
        <v>0</v>
      </c>
    </row>
    <row r="161" spans="1:5" x14ac:dyDescent="0.25">
      <c r="A161" t="s">
        <v>226</v>
      </c>
      <c r="B161">
        <f>COUNTIF(Sheet1!$F$42:$AE$61,allcase!A161)</f>
        <v>0</v>
      </c>
      <c r="D161" t="s">
        <v>204</v>
      </c>
      <c r="E161">
        <v>0</v>
      </c>
    </row>
    <row r="162" spans="1:5" x14ac:dyDescent="0.25">
      <c r="A162" t="s">
        <v>227</v>
      </c>
      <c r="B162">
        <f>COUNTIF(Sheet1!$F$42:$AE$61,allcase!A162)</f>
        <v>0</v>
      </c>
      <c r="D162" t="s">
        <v>205</v>
      </c>
      <c r="E162">
        <v>0</v>
      </c>
    </row>
    <row r="163" spans="1:5" x14ac:dyDescent="0.25">
      <c r="A163" t="s">
        <v>228</v>
      </c>
      <c r="B163">
        <f>COUNTIF(Sheet1!$F$42:$AE$61,allcase!A163)</f>
        <v>0</v>
      </c>
      <c r="D163" t="s">
        <v>206</v>
      </c>
      <c r="E163">
        <v>0</v>
      </c>
    </row>
    <row r="164" spans="1:5" x14ac:dyDescent="0.25">
      <c r="A164" t="s">
        <v>229</v>
      </c>
      <c r="B164">
        <f>COUNTIF(Sheet1!$F$42:$AE$61,allcase!A164)</f>
        <v>7</v>
      </c>
      <c r="D164" t="s">
        <v>207</v>
      </c>
      <c r="E164">
        <v>0</v>
      </c>
    </row>
    <row r="165" spans="1:5" x14ac:dyDescent="0.25">
      <c r="A165" t="s">
        <v>230</v>
      </c>
      <c r="B165">
        <f>COUNTIF(Sheet1!$F$42:$AE$61,allcase!A165)</f>
        <v>0</v>
      </c>
      <c r="D165" t="s">
        <v>208</v>
      </c>
      <c r="E165">
        <v>0</v>
      </c>
    </row>
    <row r="166" spans="1:5" x14ac:dyDescent="0.25">
      <c r="A166" t="s">
        <v>231</v>
      </c>
      <c r="B166">
        <f>COUNTIF(Sheet1!$F$42:$AE$61,allcase!A166)</f>
        <v>0</v>
      </c>
      <c r="D166" t="s">
        <v>209</v>
      </c>
      <c r="E166">
        <v>0</v>
      </c>
    </row>
    <row r="167" spans="1:5" x14ac:dyDescent="0.25">
      <c r="A167" t="s">
        <v>232</v>
      </c>
      <c r="B167">
        <f>COUNTIF(Sheet1!$F$42:$AE$61,allcase!A167)</f>
        <v>0</v>
      </c>
      <c r="D167" t="s">
        <v>210</v>
      </c>
      <c r="E167">
        <v>0</v>
      </c>
    </row>
    <row r="168" spans="1:5" x14ac:dyDescent="0.25">
      <c r="A168" t="s">
        <v>233</v>
      </c>
      <c r="B168">
        <f>COUNTIF(Sheet1!$F$42:$AE$61,allcase!A168)</f>
        <v>0</v>
      </c>
      <c r="D168" t="s">
        <v>211</v>
      </c>
      <c r="E168">
        <v>0</v>
      </c>
    </row>
    <row r="169" spans="1:5" x14ac:dyDescent="0.25">
      <c r="A169" t="s">
        <v>234</v>
      </c>
      <c r="B169">
        <f>COUNTIF(Sheet1!$F$42:$AE$61,allcase!A169)</f>
        <v>0</v>
      </c>
      <c r="D169" t="s">
        <v>212</v>
      </c>
      <c r="E169">
        <v>0</v>
      </c>
    </row>
    <row r="170" spans="1:5" x14ac:dyDescent="0.25">
      <c r="A170" t="s">
        <v>235</v>
      </c>
      <c r="B170">
        <f>COUNTIF(Sheet1!$F$42:$AE$61,allcase!A170)</f>
        <v>0</v>
      </c>
      <c r="D170" t="s">
        <v>213</v>
      </c>
      <c r="E170">
        <v>0</v>
      </c>
    </row>
    <row r="171" spans="1:5" x14ac:dyDescent="0.25">
      <c r="A171" t="s">
        <v>236</v>
      </c>
      <c r="B171">
        <f>COUNTIF(Sheet1!$F$42:$AE$61,allcase!A171)</f>
        <v>0</v>
      </c>
      <c r="D171" t="s">
        <v>214</v>
      </c>
      <c r="E171">
        <v>0</v>
      </c>
    </row>
    <row r="172" spans="1:5" x14ac:dyDescent="0.25">
      <c r="A172" t="s">
        <v>237</v>
      </c>
      <c r="B172">
        <f>COUNTIF(Sheet1!$F$42:$AE$61,allcase!A172)</f>
        <v>0</v>
      </c>
      <c r="D172" t="s">
        <v>215</v>
      </c>
      <c r="E172">
        <v>0</v>
      </c>
    </row>
    <row r="173" spans="1:5" x14ac:dyDescent="0.25">
      <c r="A173" t="s">
        <v>238</v>
      </c>
      <c r="B173">
        <f>COUNTIF(Sheet1!$F$42:$AE$61,allcase!A173)</f>
        <v>10</v>
      </c>
      <c r="D173" t="s">
        <v>216</v>
      </c>
      <c r="E173">
        <v>0</v>
      </c>
    </row>
    <row r="174" spans="1:5" x14ac:dyDescent="0.25">
      <c r="A174" t="s">
        <v>239</v>
      </c>
      <c r="B174">
        <f>COUNTIF(Sheet1!$F$42:$AE$61,allcase!A174)</f>
        <v>1</v>
      </c>
      <c r="D174" t="s">
        <v>217</v>
      </c>
      <c r="E174">
        <v>0</v>
      </c>
    </row>
    <row r="175" spans="1:5" x14ac:dyDescent="0.25">
      <c r="A175" t="s">
        <v>240</v>
      </c>
      <c r="B175">
        <f>COUNTIF(Sheet1!$F$42:$AE$61,allcase!A175)</f>
        <v>0</v>
      </c>
      <c r="D175" t="s">
        <v>218</v>
      </c>
      <c r="E175">
        <v>0</v>
      </c>
    </row>
    <row r="176" spans="1:5" x14ac:dyDescent="0.25">
      <c r="A176" t="s">
        <v>241</v>
      </c>
      <c r="B176">
        <f>COUNTIF(Sheet1!$F$42:$AE$61,allcase!A176)</f>
        <v>3</v>
      </c>
      <c r="D176" t="s">
        <v>219</v>
      </c>
      <c r="E176">
        <v>0</v>
      </c>
    </row>
    <row r="177" spans="1:5" x14ac:dyDescent="0.25">
      <c r="A177" t="s">
        <v>242</v>
      </c>
      <c r="B177">
        <f>COUNTIF(Sheet1!$F$42:$AE$61,allcase!A177)</f>
        <v>0</v>
      </c>
      <c r="D177" t="s">
        <v>220</v>
      </c>
      <c r="E177">
        <v>0</v>
      </c>
    </row>
    <row r="178" spans="1:5" x14ac:dyDescent="0.25">
      <c r="A178" t="s">
        <v>243</v>
      </c>
      <c r="B178">
        <f>COUNTIF(Sheet1!$F$42:$AE$61,allcase!A178)</f>
        <v>0</v>
      </c>
      <c r="D178" t="s">
        <v>221</v>
      </c>
      <c r="E178">
        <v>0</v>
      </c>
    </row>
    <row r="179" spans="1:5" x14ac:dyDescent="0.25">
      <c r="A179" t="s">
        <v>244</v>
      </c>
      <c r="B179">
        <f>COUNTIF(Sheet1!$F$42:$AE$61,allcase!A179)</f>
        <v>10</v>
      </c>
      <c r="D179" t="s">
        <v>222</v>
      </c>
      <c r="E179">
        <v>0</v>
      </c>
    </row>
    <row r="180" spans="1:5" x14ac:dyDescent="0.25">
      <c r="A180" t="s">
        <v>245</v>
      </c>
      <c r="B180">
        <f>COUNTIF(Sheet1!$F$42:$AE$61,allcase!A180)</f>
        <v>0</v>
      </c>
      <c r="D180" t="s">
        <v>224</v>
      </c>
      <c r="E180">
        <v>0</v>
      </c>
    </row>
    <row r="181" spans="1:5" x14ac:dyDescent="0.25">
      <c r="A181" t="s">
        <v>246</v>
      </c>
      <c r="B181">
        <f>COUNTIF(Sheet1!$F$42:$AE$61,allcase!A181)</f>
        <v>0</v>
      </c>
      <c r="D181" t="s">
        <v>225</v>
      </c>
      <c r="E181">
        <v>0</v>
      </c>
    </row>
    <row r="182" spans="1:5" x14ac:dyDescent="0.25">
      <c r="A182" t="s">
        <v>247</v>
      </c>
      <c r="B182">
        <f>COUNTIF(Sheet1!$F$42:$AE$61,allcase!A182)</f>
        <v>10</v>
      </c>
      <c r="D182" t="s">
        <v>226</v>
      </c>
      <c r="E182">
        <v>0</v>
      </c>
    </row>
    <row r="183" spans="1:5" x14ac:dyDescent="0.25">
      <c r="A183" t="s">
        <v>248</v>
      </c>
      <c r="B183">
        <f>COUNTIF(Sheet1!$F$42:$AE$61,allcase!A183)</f>
        <v>1</v>
      </c>
      <c r="D183" t="s">
        <v>227</v>
      </c>
      <c r="E183">
        <v>0</v>
      </c>
    </row>
    <row r="184" spans="1:5" x14ac:dyDescent="0.25">
      <c r="A184" t="s">
        <v>249</v>
      </c>
      <c r="B184">
        <f>COUNTIF(Sheet1!$F$42:$AE$61,allcase!A184)</f>
        <v>0</v>
      </c>
      <c r="D184" t="s">
        <v>228</v>
      </c>
      <c r="E184">
        <v>0</v>
      </c>
    </row>
    <row r="185" spans="1:5" x14ac:dyDescent="0.25">
      <c r="A185" t="s">
        <v>250</v>
      </c>
      <c r="B185">
        <f>COUNTIF(Sheet1!$F$42:$AE$61,allcase!A185)</f>
        <v>0</v>
      </c>
      <c r="D185" t="s">
        <v>230</v>
      </c>
      <c r="E185">
        <v>0</v>
      </c>
    </row>
    <row r="186" spans="1:5" x14ac:dyDescent="0.25">
      <c r="A186" t="s">
        <v>251</v>
      </c>
      <c r="B186">
        <f>COUNTIF(Sheet1!$F$42:$AE$61,allcase!A186)</f>
        <v>0</v>
      </c>
      <c r="D186" t="s">
        <v>231</v>
      </c>
      <c r="E186">
        <v>0</v>
      </c>
    </row>
    <row r="187" spans="1:5" x14ac:dyDescent="0.25">
      <c r="A187" t="s">
        <v>252</v>
      </c>
      <c r="B187">
        <f>COUNTIF(Sheet1!$F$42:$AE$61,allcase!A187)</f>
        <v>0</v>
      </c>
      <c r="D187" t="s">
        <v>232</v>
      </c>
      <c r="E187">
        <v>0</v>
      </c>
    </row>
    <row r="188" spans="1:5" x14ac:dyDescent="0.25">
      <c r="A188" t="s">
        <v>253</v>
      </c>
      <c r="B188">
        <f>COUNTIF(Sheet1!$F$42:$AE$61,allcase!A188)</f>
        <v>10</v>
      </c>
      <c r="D188" t="s">
        <v>233</v>
      </c>
      <c r="E188">
        <v>0</v>
      </c>
    </row>
    <row r="189" spans="1:5" x14ac:dyDescent="0.25">
      <c r="A189" t="s">
        <v>254</v>
      </c>
      <c r="B189">
        <f>COUNTIF(Sheet1!$F$42:$AE$61,allcase!A189)</f>
        <v>0</v>
      </c>
      <c r="D189" t="s">
        <v>234</v>
      </c>
      <c r="E189">
        <v>0</v>
      </c>
    </row>
    <row r="190" spans="1:5" x14ac:dyDescent="0.25">
      <c r="A190" t="s">
        <v>255</v>
      </c>
      <c r="B190">
        <f>COUNTIF(Sheet1!$F$42:$AE$61,allcase!A190)</f>
        <v>0</v>
      </c>
      <c r="D190" t="s">
        <v>235</v>
      </c>
      <c r="E190">
        <v>0</v>
      </c>
    </row>
    <row r="191" spans="1:5" x14ac:dyDescent="0.25">
      <c r="A191" t="s">
        <v>256</v>
      </c>
      <c r="B191">
        <f>COUNTIF(Sheet1!$F$42:$AE$61,allcase!A191)</f>
        <v>4</v>
      </c>
      <c r="D191" t="s">
        <v>236</v>
      </c>
      <c r="E191">
        <v>0</v>
      </c>
    </row>
    <row r="192" spans="1:5" x14ac:dyDescent="0.25">
      <c r="A192" t="s">
        <v>257</v>
      </c>
      <c r="B192">
        <f>COUNTIF(Sheet1!$F$42:$AE$61,allcase!A192)</f>
        <v>0</v>
      </c>
      <c r="D192" t="s">
        <v>237</v>
      </c>
      <c r="E192">
        <v>0</v>
      </c>
    </row>
    <row r="193" spans="1:5" x14ac:dyDescent="0.25">
      <c r="A193" t="s">
        <v>258</v>
      </c>
      <c r="B193">
        <f>COUNTIF(Sheet1!$F$42:$AE$61,allcase!A193)</f>
        <v>0</v>
      </c>
      <c r="D193" t="s">
        <v>240</v>
      </c>
      <c r="E193">
        <v>0</v>
      </c>
    </row>
    <row r="194" spans="1:5" x14ac:dyDescent="0.25">
      <c r="A194" t="s">
        <v>259</v>
      </c>
      <c r="B194">
        <f>COUNTIF(Sheet1!$F$42:$AE$61,allcase!A194)</f>
        <v>10</v>
      </c>
      <c r="D194" t="s">
        <v>242</v>
      </c>
      <c r="E194">
        <v>0</v>
      </c>
    </row>
    <row r="195" spans="1:5" x14ac:dyDescent="0.25">
      <c r="A195" t="s">
        <v>260</v>
      </c>
      <c r="B195">
        <f>COUNTIF(Sheet1!$F$42:$AE$61,allcase!A195)</f>
        <v>0</v>
      </c>
      <c r="D195" t="s">
        <v>243</v>
      </c>
      <c r="E195">
        <v>0</v>
      </c>
    </row>
    <row r="196" spans="1:5" x14ac:dyDescent="0.25">
      <c r="A196" t="s">
        <v>261</v>
      </c>
      <c r="B196">
        <f>COUNTIF(Sheet1!$F$42:$AE$61,allcase!A196)</f>
        <v>0</v>
      </c>
      <c r="D196" t="s">
        <v>245</v>
      </c>
      <c r="E196">
        <v>0</v>
      </c>
    </row>
    <row r="197" spans="1:5" x14ac:dyDescent="0.25">
      <c r="A197" t="s">
        <v>262</v>
      </c>
      <c r="B197">
        <f>COUNTIF(Sheet1!$F$42:$AE$61,allcase!A197)</f>
        <v>0</v>
      </c>
      <c r="D197" t="s">
        <v>246</v>
      </c>
      <c r="E197">
        <v>0</v>
      </c>
    </row>
    <row r="198" spans="1:5" x14ac:dyDescent="0.25">
      <c r="A198" t="s">
        <v>263</v>
      </c>
      <c r="B198">
        <f>COUNTIF(Sheet1!$F$42:$AE$61,allcase!A198)</f>
        <v>0</v>
      </c>
      <c r="D198" t="s">
        <v>249</v>
      </c>
      <c r="E198">
        <v>0</v>
      </c>
    </row>
    <row r="199" spans="1:5" x14ac:dyDescent="0.25">
      <c r="A199" t="s">
        <v>264</v>
      </c>
      <c r="B199">
        <f>COUNTIF(Sheet1!$F$42:$AE$61,allcase!A199)</f>
        <v>0</v>
      </c>
      <c r="D199" t="s">
        <v>250</v>
      </c>
      <c r="E199">
        <v>0</v>
      </c>
    </row>
    <row r="200" spans="1:5" x14ac:dyDescent="0.25">
      <c r="A200" t="s">
        <v>265</v>
      </c>
      <c r="B200">
        <f>COUNTIF(Sheet1!$F$42:$AE$61,allcase!A200)</f>
        <v>0</v>
      </c>
      <c r="D200" t="s">
        <v>251</v>
      </c>
      <c r="E200">
        <v>0</v>
      </c>
    </row>
    <row r="201" spans="1:5" x14ac:dyDescent="0.25">
      <c r="A201" t="s">
        <v>266</v>
      </c>
      <c r="B201">
        <f>COUNTIF(Sheet1!$F$42:$AE$61,allcase!A201)</f>
        <v>0</v>
      </c>
      <c r="D201" t="s">
        <v>252</v>
      </c>
      <c r="E201">
        <v>0</v>
      </c>
    </row>
    <row r="202" spans="1:5" x14ac:dyDescent="0.25">
      <c r="A202" t="s">
        <v>267</v>
      </c>
      <c r="B202">
        <f>COUNTIF(Sheet1!$F$42:$AE$61,allcase!A202)</f>
        <v>0</v>
      </c>
      <c r="D202" t="s">
        <v>254</v>
      </c>
      <c r="E202">
        <v>0</v>
      </c>
    </row>
    <row r="203" spans="1:5" x14ac:dyDescent="0.25">
      <c r="A203" t="s">
        <v>268</v>
      </c>
      <c r="B203">
        <f>COUNTIF(Sheet1!$F$42:$AE$61,allcase!A203)</f>
        <v>0</v>
      </c>
      <c r="D203" t="s">
        <v>255</v>
      </c>
      <c r="E203">
        <v>0</v>
      </c>
    </row>
    <row r="204" spans="1:5" x14ac:dyDescent="0.25">
      <c r="A204" t="s">
        <v>269</v>
      </c>
      <c r="B204">
        <f>COUNTIF(Sheet1!$F$42:$AE$61,allcase!A204)</f>
        <v>0</v>
      </c>
      <c r="D204" t="s">
        <v>257</v>
      </c>
      <c r="E204">
        <v>0</v>
      </c>
    </row>
    <row r="205" spans="1:5" x14ac:dyDescent="0.25">
      <c r="A205" t="s">
        <v>270</v>
      </c>
      <c r="B205">
        <f>COUNTIF(Sheet1!$F$42:$AE$61,allcase!A205)</f>
        <v>0</v>
      </c>
      <c r="D205" t="s">
        <v>258</v>
      </c>
      <c r="E205">
        <v>0</v>
      </c>
    </row>
    <row r="206" spans="1:5" x14ac:dyDescent="0.25">
      <c r="A206" t="s">
        <v>271</v>
      </c>
      <c r="B206">
        <f>COUNTIF(Sheet1!$F$42:$AE$61,allcase!A206)</f>
        <v>0</v>
      </c>
      <c r="D206" t="s">
        <v>260</v>
      </c>
      <c r="E206">
        <v>0</v>
      </c>
    </row>
    <row r="207" spans="1:5" x14ac:dyDescent="0.25">
      <c r="A207" t="s">
        <v>272</v>
      </c>
      <c r="B207">
        <f>COUNTIF(Sheet1!$F$42:$AE$61,allcase!A207)</f>
        <v>0</v>
      </c>
      <c r="D207" t="s">
        <v>261</v>
      </c>
      <c r="E207">
        <v>0</v>
      </c>
    </row>
    <row r="208" spans="1:5" x14ac:dyDescent="0.25">
      <c r="A208" t="s">
        <v>273</v>
      </c>
      <c r="B208">
        <f>COUNTIF(Sheet1!$F$42:$AE$61,allcase!A208)</f>
        <v>0</v>
      </c>
      <c r="D208" t="s">
        <v>262</v>
      </c>
      <c r="E208">
        <v>0</v>
      </c>
    </row>
    <row r="209" spans="1:5" x14ac:dyDescent="0.25">
      <c r="A209" t="s">
        <v>274</v>
      </c>
      <c r="B209">
        <f>COUNTIF(Sheet1!$F$42:$AE$61,allcase!A209)</f>
        <v>0</v>
      </c>
      <c r="D209" t="s">
        <v>263</v>
      </c>
      <c r="E209">
        <v>0</v>
      </c>
    </row>
    <row r="210" spans="1:5" x14ac:dyDescent="0.25">
      <c r="A210" t="s">
        <v>275</v>
      </c>
      <c r="B210">
        <f>COUNTIF(Sheet1!$F$42:$AE$61,allcase!A210)</f>
        <v>0</v>
      </c>
      <c r="D210" t="s">
        <v>264</v>
      </c>
      <c r="E210">
        <v>0</v>
      </c>
    </row>
    <row r="211" spans="1:5" x14ac:dyDescent="0.25">
      <c r="A211" t="s">
        <v>276</v>
      </c>
      <c r="B211">
        <f>COUNTIF(Sheet1!$F$42:$AE$61,allcase!A211)</f>
        <v>0</v>
      </c>
      <c r="D211" t="s">
        <v>265</v>
      </c>
      <c r="E211">
        <v>0</v>
      </c>
    </row>
    <row r="212" spans="1:5" x14ac:dyDescent="0.25">
      <c r="A212" t="s">
        <v>277</v>
      </c>
      <c r="B212">
        <f>COUNTIF(Sheet1!$F$42:$AE$61,allcase!A212)</f>
        <v>0</v>
      </c>
      <c r="D212" t="s">
        <v>266</v>
      </c>
      <c r="E212">
        <v>0</v>
      </c>
    </row>
    <row r="213" spans="1:5" x14ac:dyDescent="0.25">
      <c r="A213" t="s">
        <v>278</v>
      </c>
      <c r="B213">
        <f>COUNTIF(Sheet1!$F$42:$AE$61,allcase!A213)</f>
        <v>0</v>
      </c>
      <c r="D213" t="s">
        <v>267</v>
      </c>
      <c r="E213">
        <v>0</v>
      </c>
    </row>
    <row r="214" spans="1:5" x14ac:dyDescent="0.25">
      <c r="A214" t="s">
        <v>279</v>
      </c>
      <c r="B214">
        <f>COUNTIF(Sheet1!$F$42:$AE$61,allcase!A214)</f>
        <v>1</v>
      </c>
      <c r="D214" t="s">
        <v>268</v>
      </c>
      <c r="E214">
        <v>0</v>
      </c>
    </row>
    <row r="215" spans="1:5" x14ac:dyDescent="0.25">
      <c r="A215" t="s">
        <v>280</v>
      </c>
      <c r="B215">
        <f>COUNTIF(Sheet1!$F$42:$AE$61,allcase!A215)</f>
        <v>2</v>
      </c>
      <c r="D215" t="s">
        <v>269</v>
      </c>
      <c r="E215">
        <v>0</v>
      </c>
    </row>
    <row r="216" spans="1:5" x14ac:dyDescent="0.25">
      <c r="A216" t="s">
        <v>281</v>
      </c>
      <c r="B216">
        <f>COUNTIF(Sheet1!$F$42:$AE$61,allcase!A216)</f>
        <v>9</v>
      </c>
      <c r="D216" t="s">
        <v>270</v>
      </c>
      <c r="E216">
        <v>0</v>
      </c>
    </row>
    <row r="217" spans="1:5" x14ac:dyDescent="0.25">
      <c r="A217" t="s">
        <v>282</v>
      </c>
      <c r="B217">
        <f>COUNTIF(Sheet1!$F$42:$AE$61,allcase!A217)</f>
        <v>4</v>
      </c>
      <c r="D217" t="s">
        <v>271</v>
      </c>
      <c r="E217">
        <v>0</v>
      </c>
    </row>
    <row r="218" spans="1:5" x14ac:dyDescent="0.25">
      <c r="A218" t="s">
        <v>283</v>
      </c>
      <c r="B218">
        <f>COUNTIF(Sheet1!$F$42:$AE$61,allcase!A218)</f>
        <v>0</v>
      </c>
      <c r="D218" t="s">
        <v>272</v>
      </c>
      <c r="E218">
        <v>0</v>
      </c>
    </row>
    <row r="219" spans="1:5" x14ac:dyDescent="0.25">
      <c r="A219" t="s">
        <v>284</v>
      </c>
      <c r="B219">
        <f>COUNTIF(Sheet1!$F$42:$AE$61,allcase!A219)</f>
        <v>10</v>
      </c>
      <c r="D219" t="s">
        <v>273</v>
      </c>
      <c r="E219">
        <v>0</v>
      </c>
    </row>
    <row r="220" spans="1:5" x14ac:dyDescent="0.25">
      <c r="A220" t="s">
        <v>285</v>
      </c>
      <c r="B220">
        <f>COUNTIF(Sheet1!$F$42:$AE$61,allcase!A220)</f>
        <v>10</v>
      </c>
      <c r="D220" t="s">
        <v>274</v>
      </c>
      <c r="E220">
        <v>0</v>
      </c>
    </row>
    <row r="221" spans="1:5" x14ac:dyDescent="0.25">
      <c r="A221" t="s">
        <v>286</v>
      </c>
      <c r="B221">
        <f>COUNTIF(Sheet1!$F$42:$AE$61,allcase!A221)</f>
        <v>9</v>
      </c>
      <c r="D221" t="s">
        <v>275</v>
      </c>
      <c r="E221">
        <v>0</v>
      </c>
    </row>
    <row r="222" spans="1:5" x14ac:dyDescent="0.25">
      <c r="A222" t="s">
        <v>287</v>
      </c>
      <c r="B222">
        <f>COUNTIF(Sheet1!$F$42:$AE$61,allcase!A222)</f>
        <v>10</v>
      </c>
      <c r="D222" t="s">
        <v>276</v>
      </c>
      <c r="E222">
        <v>0</v>
      </c>
    </row>
    <row r="223" spans="1:5" x14ac:dyDescent="0.25">
      <c r="A223" t="s">
        <v>288</v>
      </c>
      <c r="B223">
        <f>COUNTIF(Sheet1!$F$42:$AE$61,allcase!A223)</f>
        <v>0</v>
      </c>
      <c r="D223" t="s">
        <v>277</v>
      </c>
      <c r="E223">
        <v>0</v>
      </c>
    </row>
    <row r="224" spans="1:5" x14ac:dyDescent="0.25">
      <c r="A224" t="s">
        <v>289</v>
      </c>
      <c r="B224">
        <f>COUNTIF(Sheet1!$F$42:$AE$61,allcase!A224)</f>
        <v>2</v>
      </c>
      <c r="D224" t="s">
        <v>278</v>
      </c>
      <c r="E224">
        <v>0</v>
      </c>
    </row>
    <row r="225" spans="1:5" x14ac:dyDescent="0.25">
      <c r="A225" t="s">
        <v>290</v>
      </c>
      <c r="B225">
        <f>COUNTIF(Sheet1!$F$42:$AE$61,allcase!A225)</f>
        <v>7</v>
      </c>
      <c r="D225" t="s">
        <v>283</v>
      </c>
      <c r="E225">
        <v>0</v>
      </c>
    </row>
    <row r="226" spans="1:5" x14ac:dyDescent="0.25">
      <c r="A226" t="s">
        <v>291</v>
      </c>
      <c r="B226">
        <f>COUNTIF(Sheet1!$F$42:$AE$61,allcase!A226)</f>
        <v>10</v>
      </c>
      <c r="D226" t="s">
        <v>288</v>
      </c>
      <c r="E226">
        <v>0</v>
      </c>
    </row>
    <row r="227" spans="1:5" x14ac:dyDescent="0.25">
      <c r="A227" t="s">
        <v>292</v>
      </c>
      <c r="B227">
        <f>COUNTIF(Sheet1!$F$42:$AE$61,allcase!A227)</f>
        <v>0</v>
      </c>
      <c r="D227" t="s">
        <v>292</v>
      </c>
      <c r="E227">
        <v>0</v>
      </c>
    </row>
    <row r="228" spans="1:5" x14ac:dyDescent="0.25">
      <c r="A228" t="s">
        <v>293</v>
      </c>
      <c r="B228">
        <f>COUNTIF(Sheet1!$F$42:$AE$61,allcase!A228)</f>
        <v>0</v>
      </c>
      <c r="D228" t="s">
        <v>293</v>
      </c>
      <c r="E228">
        <v>0</v>
      </c>
    </row>
    <row r="229" spans="1:5" x14ac:dyDescent="0.25">
      <c r="A229" t="s">
        <v>294</v>
      </c>
      <c r="B229">
        <f>COUNTIF(Sheet1!$F$42:$AE$61,allcase!A229)</f>
        <v>0</v>
      </c>
      <c r="D229" t="s">
        <v>294</v>
      </c>
      <c r="E229">
        <v>0</v>
      </c>
    </row>
    <row r="230" spans="1:5" x14ac:dyDescent="0.25">
      <c r="A230" t="s">
        <v>295</v>
      </c>
      <c r="B230">
        <f>COUNTIF(Sheet1!$F$42:$AE$61,allcase!A230)</f>
        <v>0</v>
      </c>
      <c r="D230" t="s">
        <v>295</v>
      </c>
      <c r="E230">
        <v>0</v>
      </c>
    </row>
    <row r="231" spans="1:5" x14ac:dyDescent="0.25">
      <c r="A231" t="s">
        <v>296</v>
      </c>
      <c r="B231">
        <f>COUNTIF(Sheet1!$F$42:$AE$61,allcase!A231)</f>
        <v>0</v>
      </c>
      <c r="D231" t="s">
        <v>296</v>
      </c>
      <c r="E231">
        <v>0</v>
      </c>
    </row>
    <row r="232" spans="1:5" x14ac:dyDescent="0.25">
      <c r="A232" t="s">
        <v>297</v>
      </c>
      <c r="B232">
        <f>COUNTIF(Sheet1!$F$42:$AE$61,allcase!A232)</f>
        <v>0</v>
      </c>
      <c r="D232" t="s">
        <v>297</v>
      </c>
      <c r="E232">
        <v>0</v>
      </c>
    </row>
    <row r="233" spans="1:5" x14ac:dyDescent="0.25">
      <c r="A233" t="s">
        <v>298</v>
      </c>
      <c r="B233">
        <f>COUNTIF(Sheet1!$F$42:$AE$61,allcase!A233)</f>
        <v>0</v>
      </c>
      <c r="D233" t="s">
        <v>298</v>
      </c>
      <c r="E233">
        <v>0</v>
      </c>
    </row>
    <row r="234" spans="1:5" x14ac:dyDescent="0.25">
      <c r="A234" t="s">
        <v>299</v>
      </c>
      <c r="B234">
        <f>COUNTIF(Sheet1!$F$42:$AE$61,allcase!A234)</f>
        <v>0</v>
      </c>
      <c r="D234" t="s">
        <v>299</v>
      </c>
      <c r="E234">
        <v>0</v>
      </c>
    </row>
    <row r="235" spans="1:5" x14ac:dyDescent="0.25">
      <c r="A235" t="s">
        <v>300</v>
      </c>
      <c r="B235">
        <f>COUNTIF(Sheet1!$F$42:$AE$61,allcase!A235)</f>
        <v>0</v>
      </c>
      <c r="D235" t="s">
        <v>300</v>
      </c>
      <c r="E235">
        <v>0</v>
      </c>
    </row>
    <row r="236" spans="1:5" x14ac:dyDescent="0.25">
      <c r="A236" t="s">
        <v>301</v>
      </c>
      <c r="B236">
        <f>COUNTIF(Sheet1!$F$42:$AE$61,allcase!A236)</f>
        <v>0</v>
      </c>
      <c r="D236" t="s">
        <v>301</v>
      </c>
      <c r="E236">
        <v>0</v>
      </c>
    </row>
    <row r="237" spans="1:5" x14ac:dyDescent="0.25">
      <c r="A237" t="s">
        <v>302</v>
      </c>
      <c r="B237">
        <f>COUNTIF(Sheet1!$F$42:$AE$61,allcase!A237)</f>
        <v>0</v>
      </c>
      <c r="D237" t="s">
        <v>302</v>
      </c>
      <c r="E237">
        <v>0</v>
      </c>
    </row>
  </sheetData>
  <sortState xmlns:xlrd2="http://schemas.microsoft.com/office/spreadsheetml/2017/richdata2" ref="D2:E237">
    <sortCondition descending="1" ref="E2:E23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B264-32D1-466C-8C05-45DFEAB08815}">
  <dimension ref="A1:H48"/>
  <sheetViews>
    <sheetView workbookViewId="0">
      <selection activeCell="I5" sqref="I5"/>
    </sheetView>
  </sheetViews>
  <sheetFormatPr defaultRowHeight="15" x14ac:dyDescent="0.25"/>
  <sheetData>
    <row r="1" spans="1:8" x14ac:dyDescent="0.25">
      <c r="A1" t="s">
        <v>303</v>
      </c>
      <c r="B1" t="s">
        <v>4</v>
      </c>
      <c r="D1" t="s">
        <v>303</v>
      </c>
      <c r="E1" t="s">
        <v>4</v>
      </c>
      <c r="G1" t="s">
        <v>303</v>
      </c>
      <c r="H1" t="s">
        <v>4</v>
      </c>
    </row>
    <row r="2" spans="1:8" x14ac:dyDescent="0.25">
      <c r="A2" t="s">
        <v>166</v>
      </c>
      <c r="B2">
        <v>1</v>
      </c>
      <c r="D2" t="s">
        <v>168</v>
      </c>
      <c r="E2">
        <v>2</v>
      </c>
      <c r="G2" t="s">
        <v>167</v>
      </c>
      <c r="H2">
        <v>5</v>
      </c>
    </row>
    <row r="3" spans="1:8" x14ac:dyDescent="0.25">
      <c r="A3" t="s">
        <v>167</v>
      </c>
      <c r="B3">
        <v>1</v>
      </c>
      <c r="D3" t="s">
        <v>172</v>
      </c>
      <c r="E3">
        <v>2</v>
      </c>
      <c r="G3" t="s">
        <v>168</v>
      </c>
      <c r="H3">
        <v>2</v>
      </c>
    </row>
    <row r="4" spans="1:8" x14ac:dyDescent="0.25">
      <c r="A4" t="s">
        <v>168</v>
      </c>
      <c r="B4">
        <v>5</v>
      </c>
      <c r="D4" t="s">
        <v>173</v>
      </c>
      <c r="E4">
        <v>5</v>
      </c>
      <c r="G4" t="s">
        <v>170</v>
      </c>
      <c r="H4">
        <v>5</v>
      </c>
    </row>
    <row r="5" spans="1:8" x14ac:dyDescent="0.25">
      <c r="A5" t="s">
        <v>172</v>
      </c>
      <c r="B5">
        <v>7</v>
      </c>
      <c r="D5" t="s">
        <v>178</v>
      </c>
      <c r="E5">
        <v>4</v>
      </c>
      <c r="G5" t="s">
        <v>172</v>
      </c>
      <c r="H5">
        <v>5</v>
      </c>
    </row>
    <row r="6" spans="1:8" x14ac:dyDescent="0.25">
      <c r="A6" t="s">
        <v>173</v>
      </c>
      <c r="B6">
        <v>10</v>
      </c>
      <c r="D6" t="s">
        <v>179</v>
      </c>
      <c r="E6">
        <v>1</v>
      </c>
      <c r="G6" t="s">
        <v>173</v>
      </c>
      <c r="H6">
        <v>10</v>
      </c>
    </row>
    <row r="7" spans="1:8" x14ac:dyDescent="0.25">
      <c r="A7" t="s">
        <v>176</v>
      </c>
      <c r="B7">
        <v>2</v>
      </c>
      <c r="D7" t="s">
        <v>180</v>
      </c>
      <c r="E7">
        <v>1</v>
      </c>
      <c r="G7" t="s">
        <v>176</v>
      </c>
      <c r="H7">
        <v>5</v>
      </c>
    </row>
    <row r="8" spans="1:8" x14ac:dyDescent="0.25">
      <c r="A8" t="s">
        <v>178</v>
      </c>
      <c r="B8">
        <v>6</v>
      </c>
      <c r="D8" t="s">
        <v>182</v>
      </c>
      <c r="E8">
        <v>7</v>
      </c>
      <c r="G8" t="s">
        <v>178</v>
      </c>
      <c r="H8">
        <v>1</v>
      </c>
    </row>
    <row r="9" spans="1:8" x14ac:dyDescent="0.25">
      <c r="A9" t="s">
        <v>179</v>
      </c>
      <c r="B9">
        <v>7</v>
      </c>
      <c r="D9" t="s">
        <v>184</v>
      </c>
      <c r="E9">
        <v>8</v>
      </c>
      <c r="G9" t="s">
        <v>179</v>
      </c>
      <c r="H9">
        <v>9</v>
      </c>
    </row>
    <row r="10" spans="1:8" x14ac:dyDescent="0.25">
      <c r="A10" t="s">
        <v>180</v>
      </c>
      <c r="B10">
        <v>3</v>
      </c>
      <c r="D10" t="s">
        <v>185</v>
      </c>
      <c r="E10">
        <v>10</v>
      </c>
      <c r="G10" t="s">
        <v>180</v>
      </c>
      <c r="H10">
        <v>2</v>
      </c>
    </row>
    <row r="11" spans="1:8" x14ac:dyDescent="0.25">
      <c r="A11" t="s">
        <v>182</v>
      </c>
      <c r="B11">
        <v>7</v>
      </c>
      <c r="D11" t="s">
        <v>223</v>
      </c>
      <c r="E11">
        <v>5</v>
      </c>
      <c r="G11" t="s">
        <v>182</v>
      </c>
      <c r="H11">
        <v>10</v>
      </c>
    </row>
    <row r="12" spans="1:8" x14ac:dyDescent="0.25">
      <c r="A12" t="s">
        <v>184</v>
      </c>
      <c r="B12">
        <v>10</v>
      </c>
      <c r="D12" t="s">
        <v>226</v>
      </c>
      <c r="E12">
        <v>4</v>
      </c>
      <c r="G12" t="s">
        <v>184</v>
      </c>
      <c r="H12">
        <v>6</v>
      </c>
    </row>
    <row r="13" spans="1:8" x14ac:dyDescent="0.25">
      <c r="A13" t="s">
        <v>185</v>
      </c>
      <c r="B13">
        <v>10</v>
      </c>
      <c r="D13" t="s">
        <v>229</v>
      </c>
      <c r="E13">
        <v>7</v>
      </c>
      <c r="G13" t="s">
        <v>185</v>
      </c>
      <c r="H13">
        <v>10</v>
      </c>
    </row>
    <row r="14" spans="1:8" x14ac:dyDescent="0.25">
      <c r="A14" t="s">
        <v>223</v>
      </c>
      <c r="B14">
        <v>8</v>
      </c>
      <c r="D14" t="s">
        <v>232</v>
      </c>
      <c r="E14">
        <v>2</v>
      </c>
      <c r="G14" t="s">
        <v>223</v>
      </c>
      <c r="H14">
        <v>2</v>
      </c>
    </row>
    <row r="15" spans="1:8" x14ac:dyDescent="0.25">
      <c r="A15" t="s">
        <v>226</v>
      </c>
      <c r="B15">
        <v>9</v>
      </c>
      <c r="D15" t="s">
        <v>238</v>
      </c>
      <c r="E15">
        <v>10</v>
      </c>
      <c r="G15" t="s">
        <v>229</v>
      </c>
      <c r="H15">
        <v>7</v>
      </c>
    </row>
    <row r="16" spans="1:8" x14ac:dyDescent="0.25">
      <c r="A16" t="s">
        <v>229</v>
      </c>
      <c r="B16">
        <v>10</v>
      </c>
      <c r="D16" t="s">
        <v>241</v>
      </c>
      <c r="E16">
        <v>5</v>
      </c>
      <c r="G16" t="s">
        <v>238</v>
      </c>
      <c r="H16">
        <v>10</v>
      </c>
    </row>
    <row r="17" spans="1:8" x14ac:dyDescent="0.25">
      <c r="A17" t="s">
        <v>232</v>
      </c>
      <c r="B17">
        <v>7</v>
      </c>
      <c r="D17" t="s">
        <v>244</v>
      </c>
      <c r="E17">
        <v>10</v>
      </c>
      <c r="G17" t="s">
        <v>239</v>
      </c>
      <c r="H17">
        <v>1</v>
      </c>
    </row>
    <row r="18" spans="1:8" x14ac:dyDescent="0.25">
      <c r="A18" t="s">
        <v>238</v>
      </c>
      <c r="B18">
        <v>10</v>
      </c>
      <c r="D18" t="s">
        <v>245</v>
      </c>
      <c r="E18">
        <v>1</v>
      </c>
      <c r="G18" t="s">
        <v>241</v>
      </c>
      <c r="H18">
        <v>3</v>
      </c>
    </row>
    <row r="19" spans="1:8" x14ac:dyDescent="0.25">
      <c r="A19" t="s">
        <v>241</v>
      </c>
      <c r="B19">
        <v>7</v>
      </c>
      <c r="D19" t="s">
        <v>247</v>
      </c>
      <c r="E19">
        <v>10</v>
      </c>
      <c r="G19" t="s">
        <v>244</v>
      </c>
      <c r="H19">
        <v>10</v>
      </c>
    </row>
    <row r="20" spans="1:8" x14ac:dyDescent="0.25">
      <c r="A20" t="s">
        <v>244</v>
      </c>
      <c r="B20">
        <v>10</v>
      </c>
      <c r="D20" t="s">
        <v>248</v>
      </c>
      <c r="E20">
        <v>6</v>
      </c>
      <c r="G20" t="s">
        <v>247</v>
      </c>
      <c r="H20">
        <v>10</v>
      </c>
    </row>
    <row r="21" spans="1:8" x14ac:dyDescent="0.25">
      <c r="A21" t="s">
        <v>247</v>
      </c>
      <c r="B21">
        <v>10</v>
      </c>
      <c r="D21" t="s">
        <v>250</v>
      </c>
      <c r="E21">
        <v>3</v>
      </c>
      <c r="G21" t="s">
        <v>248</v>
      </c>
      <c r="H21">
        <v>1</v>
      </c>
    </row>
    <row r="22" spans="1:8" x14ac:dyDescent="0.25">
      <c r="A22" t="s">
        <v>248</v>
      </c>
      <c r="B22">
        <v>4</v>
      </c>
      <c r="D22" t="s">
        <v>253</v>
      </c>
      <c r="E22">
        <v>10</v>
      </c>
      <c r="G22" t="s">
        <v>253</v>
      </c>
      <c r="H22">
        <v>10</v>
      </c>
    </row>
    <row r="23" spans="1:8" x14ac:dyDescent="0.25">
      <c r="A23" t="s">
        <v>253</v>
      </c>
      <c r="B23">
        <v>10</v>
      </c>
      <c r="D23" t="s">
        <v>256</v>
      </c>
      <c r="E23">
        <v>6</v>
      </c>
      <c r="G23" t="s">
        <v>256</v>
      </c>
      <c r="H23">
        <v>4</v>
      </c>
    </row>
    <row r="24" spans="1:8" x14ac:dyDescent="0.25">
      <c r="A24" t="s">
        <v>256</v>
      </c>
      <c r="B24">
        <v>7</v>
      </c>
      <c r="D24" t="s">
        <v>257</v>
      </c>
      <c r="E24">
        <v>1</v>
      </c>
      <c r="G24" t="s">
        <v>259</v>
      </c>
      <c r="H24">
        <v>10</v>
      </c>
    </row>
    <row r="25" spans="1:8" x14ac:dyDescent="0.25">
      <c r="A25" t="s">
        <v>259</v>
      </c>
      <c r="B25">
        <v>10</v>
      </c>
      <c r="D25" t="s">
        <v>259</v>
      </c>
      <c r="E25">
        <v>10</v>
      </c>
      <c r="G25" t="s">
        <v>279</v>
      </c>
      <c r="H25">
        <v>1</v>
      </c>
    </row>
    <row r="26" spans="1:8" x14ac:dyDescent="0.25">
      <c r="A26" t="s">
        <v>279</v>
      </c>
      <c r="B26">
        <v>1</v>
      </c>
      <c r="D26" t="s">
        <v>260</v>
      </c>
      <c r="E26">
        <v>3</v>
      </c>
      <c r="G26" t="s">
        <v>280</v>
      </c>
      <c r="H26">
        <v>2</v>
      </c>
    </row>
    <row r="27" spans="1:8" x14ac:dyDescent="0.25">
      <c r="A27" t="s">
        <v>280</v>
      </c>
      <c r="B27">
        <v>1</v>
      </c>
      <c r="D27" t="s">
        <v>279</v>
      </c>
      <c r="E27">
        <v>4</v>
      </c>
      <c r="G27" t="s">
        <v>281</v>
      </c>
      <c r="H27">
        <v>9</v>
      </c>
    </row>
    <row r="28" spans="1:8" x14ac:dyDescent="0.25">
      <c r="A28" t="s">
        <v>281</v>
      </c>
      <c r="B28">
        <v>8</v>
      </c>
      <c r="D28" t="s">
        <v>280</v>
      </c>
      <c r="E28">
        <v>5</v>
      </c>
      <c r="G28" t="s">
        <v>282</v>
      </c>
      <c r="H28">
        <v>4</v>
      </c>
    </row>
    <row r="29" spans="1:8" x14ac:dyDescent="0.25">
      <c r="A29" t="s">
        <v>282</v>
      </c>
      <c r="B29">
        <v>2</v>
      </c>
      <c r="D29" t="s">
        <v>281</v>
      </c>
      <c r="E29">
        <v>9</v>
      </c>
      <c r="G29" t="s">
        <v>284</v>
      </c>
      <c r="H29">
        <v>10</v>
      </c>
    </row>
    <row r="30" spans="1:8" x14ac:dyDescent="0.25">
      <c r="A30" t="s">
        <v>284</v>
      </c>
      <c r="B30">
        <v>10</v>
      </c>
      <c r="D30" t="s">
        <v>282</v>
      </c>
      <c r="E30">
        <v>6</v>
      </c>
      <c r="G30" t="s">
        <v>285</v>
      </c>
      <c r="H30">
        <v>10</v>
      </c>
    </row>
    <row r="31" spans="1:8" x14ac:dyDescent="0.25">
      <c r="A31" t="s">
        <v>285</v>
      </c>
      <c r="B31">
        <v>7</v>
      </c>
      <c r="D31" t="s">
        <v>284</v>
      </c>
      <c r="E31">
        <v>9</v>
      </c>
      <c r="G31" t="s">
        <v>286</v>
      </c>
      <c r="H31">
        <v>9</v>
      </c>
    </row>
    <row r="32" spans="1:8" x14ac:dyDescent="0.25">
      <c r="A32" t="s">
        <v>286</v>
      </c>
      <c r="B32">
        <v>10</v>
      </c>
      <c r="D32" t="s">
        <v>285</v>
      </c>
      <c r="E32">
        <v>10</v>
      </c>
      <c r="G32" t="s">
        <v>287</v>
      </c>
      <c r="H32">
        <v>10</v>
      </c>
    </row>
    <row r="33" spans="1:8" x14ac:dyDescent="0.25">
      <c r="A33" t="s">
        <v>287</v>
      </c>
      <c r="B33">
        <v>10</v>
      </c>
      <c r="D33" t="s">
        <v>286</v>
      </c>
      <c r="E33">
        <v>10</v>
      </c>
      <c r="G33" t="s">
        <v>289</v>
      </c>
      <c r="H33">
        <v>2</v>
      </c>
    </row>
    <row r="34" spans="1:8" x14ac:dyDescent="0.25">
      <c r="A34" t="s">
        <v>289</v>
      </c>
      <c r="B34">
        <v>3</v>
      </c>
      <c r="D34" t="s">
        <v>287</v>
      </c>
      <c r="E34">
        <v>10</v>
      </c>
      <c r="G34" t="s">
        <v>290</v>
      </c>
      <c r="H34">
        <v>7</v>
      </c>
    </row>
    <row r="35" spans="1:8" x14ac:dyDescent="0.25">
      <c r="A35" t="s">
        <v>290</v>
      </c>
      <c r="B35">
        <v>6</v>
      </c>
      <c r="D35" t="s">
        <v>288</v>
      </c>
      <c r="E35">
        <v>9</v>
      </c>
      <c r="G35" t="s">
        <v>291</v>
      </c>
      <c r="H35">
        <v>10</v>
      </c>
    </row>
    <row r="36" spans="1:8" x14ac:dyDescent="0.25">
      <c r="A36" t="s">
        <v>291</v>
      </c>
      <c r="B36">
        <v>9</v>
      </c>
      <c r="D36" t="s">
        <v>289</v>
      </c>
      <c r="E36">
        <v>10</v>
      </c>
      <c r="G36" t="s">
        <v>113</v>
      </c>
      <c r="H36">
        <v>1</v>
      </c>
    </row>
    <row r="37" spans="1:8" x14ac:dyDescent="0.25">
      <c r="A37" t="s">
        <v>113</v>
      </c>
      <c r="B37">
        <v>1</v>
      </c>
      <c r="D37" t="s">
        <v>290</v>
      </c>
      <c r="E37">
        <v>9</v>
      </c>
      <c r="G37" t="s">
        <v>138</v>
      </c>
      <c r="H37">
        <v>2</v>
      </c>
    </row>
    <row r="38" spans="1:8" x14ac:dyDescent="0.25">
      <c r="A38" t="s">
        <v>138</v>
      </c>
      <c r="B38">
        <v>7</v>
      </c>
      <c r="D38" t="s">
        <v>291</v>
      </c>
      <c r="E38">
        <v>10</v>
      </c>
      <c r="G38" t="s">
        <v>140</v>
      </c>
      <c r="H38">
        <v>8</v>
      </c>
    </row>
    <row r="39" spans="1:8" x14ac:dyDescent="0.25">
      <c r="A39" t="s">
        <v>140</v>
      </c>
      <c r="B39">
        <v>5</v>
      </c>
      <c r="D39" t="s">
        <v>138</v>
      </c>
      <c r="E39">
        <v>5</v>
      </c>
      <c r="G39" t="s">
        <v>143</v>
      </c>
      <c r="H39">
        <v>10</v>
      </c>
    </row>
    <row r="40" spans="1:8" x14ac:dyDescent="0.25">
      <c r="A40" t="s">
        <v>143</v>
      </c>
      <c r="B40">
        <v>10</v>
      </c>
      <c r="D40" t="s">
        <v>140</v>
      </c>
      <c r="E40">
        <v>6</v>
      </c>
      <c r="G40" t="s">
        <v>149</v>
      </c>
      <c r="H40">
        <v>9</v>
      </c>
    </row>
    <row r="41" spans="1:8" x14ac:dyDescent="0.25">
      <c r="A41" t="s">
        <v>149</v>
      </c>
      <c r="B41">
        <v>10</v>
      </c>
      <c r="D41" t="s">
        <v>143</v>
      </c>
      <c r="E41">
        <v>10</v>
      </c>
      <c r="G41" t="s">
        <v>150</v>
      </c>
      <c r="H41">
        <v>4</v>
      </c>
    </row>
    <row r="42" spans="1:8" x14ac:dyDescent="0.25">
      <c r="A42" t="s">
        <v>150</v>
      </c>
      <c r="B42">
        <v>1</v>
      </c>
      <c r="D42" t="s">
        <v>149</v>
      </c>
      <c r="E42">
        <v>1</v>
      </c>
      <c r="G42" t="s">
        <v>152</v>
      </c>
      <c r="H42">
        <v>8</v>
      </c>
    </row>
    <row r="43" spans="1:8" x14ac:dyDescent="0.25">
      <c r="A43" t="s">
        <v>152</v>
      </c>
      <c r="B43">
        <v>3</v>
      </c>
      <c r="D43" t="s">
        <v>155</v>
      </c>
      <c r="E43">
        <v>3</v>
      </c>
      <c r="G43" t="s">
        <v>155</v>
      </c>
      <c r="H43">
        <v>10</v>
      </c>
    </row>
    <row r="44" spans="1:8" x14ac:dyDescent="0.25">
      <c r="A44" t="s">
        <v>155</v>
      </c>
      <c r="B44">
        <v>10</v>
      </c>
      <c r="D44" t="s">
        <v>156</v>
      </c>
      <c r="E44">
        <v>8</v>
      </c>
      <c r="G44" t="s">
        <v>156</v>
      </c>
      <c r="H44">
        <v>4</v>
      </c>
    </row>
    <row r="45" spans="1:8" x14ac:dyDescent="0.25">
      <c r="A45" t="s">
        <v>156</v>
      </c>
      <c r="B45">
        <v>10</v>
      </c>
      <c r="D45" t="s">
        <v>158</v>
      </c>
      <c r="E45">
        <v>10</v>
      </c>
      <c r="G45" t="s">
        <v>158</v>
      </c>
      <c r="H45">
        <v>10</v>
      </c>
    </row>
    <row r="46" spans="1:8" x14ac:dyDescent="0.25">
      <c r="A46" t="s">
        <v>158</v>
      </c>
      <c r="B46">
        <v>10</v>
      </c>
      <c r="D46" t="s">
        <v>160</v>
      </c>
      <c r="E46">
        <v>5</v>
      </c>
      <c r="G46" t="s">
        <v>160</v>
      </c>
      <c r="H46">
        <v>1</v>
      </c>
    </row>
    <row r="47" spans="1:8" x14ac:dyDescent="0.25">
      <c r="A47" t="s">
        <v>160</v>
      </c>
      <c r="B47">
        <v>7</v>
      </c>
      <c r="D47" t="s">
        <v>161</v>
      </c>
      <c r="E47">
        <v>10</v>
      </c>
      <c r="G47" t="s">
        <v>161</v>
      </c>
      <c r="H47">
        <v>10</v>
      </c>
    </row>
    <row r="48" spans="1:8" x14ac:dyDescent="0.25">
      <c r="A48" t="s">
        <v>161</v>
      </c>
      <c r="B48">
        <v>10</v>
      </c>
      <c r="G48" t="s">
        <v>164</v>
      </c>
      <c r="H48">
        <v>4</v>
      </c>
    </row>
  </sheetData>
  <sortState xmlns:xlrd2="http://schemas.microsoft.com/office/spreadsheetml/2017/richdata2" ref="G2:H50">
    <sortCondition ref="G1:G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allcase</vt:lpstr>
      <vt:lpstr>avg</vt:lpstr>
      <vt:lpstr>max</vt:lpstr>
      <vt:lpstr>min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2025-10-16T18:49:35Z</dcterms:modified>
</cp:coreProperties>
</file>