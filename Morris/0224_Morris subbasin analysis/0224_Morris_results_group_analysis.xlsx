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sl177_illinois_edu/Documents/02_Paper Work/01_Paper(CANOPY)/01_SWAT Uncertainty/SWAT-GUSA-Official/Morris/0224_Morris subbasin analysis/"/>
    </mc:Choice>
  </mc:AlternateContent>
  <xr:revisionPtr revIDLastSave="0" documentId="8_{102DE030-F8D0-495B-9E66-C044743C998B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Sheet1" sheetId="1" r:id="rId1"/>
    <sheet name="Sheet7" sheetId="8" r:id="rId2"/>
    <sheet name="Table1" sheetId="7" r:id="rId3"/>
    <sheet name="pivot for group counts" sheetId="6" r:id="rId4"/>
    <sheet name="Sheet2" sheetId="2" r:id="rId5"/>
    <sheet name="Sheet5" sheetId="5" r:id="rId6"/>
    <sheet name="Subbasin group frequency" sheetId="4" r:id="rId7"/>
  </sheets>
  <definedNames>
    <definedName name="ExternalData_1" localSheetId="2" hidden="1">Table1!$A$1:$D$56</definedName>
  </definedNames>
  <calcPr calcId="191029"/>
  <pivotCaches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" i="4"/>
  <c r="E2" i="4"/>
  <c r="F2" i="4"/>
  <c r="G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" i="4"/>
  <c r="B24" i="4"/>
  <c r="B25" i="4"/>
  <c r="B2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D8B9DC-57B3-4016-8734-246C9C681E4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<sst xmlns="http://schemas.openxmlformats.org/spreadsheetml/2006/main" count="2522" uniqueCount="157">
  <si>
    <t>Year</t>
  </si>
  <si>
    <t>Type</t>
  </si>
  <si>
    <t>Method</t>
  </si>
  <si>
    <t>Group</t>
  </si>
  <si>
    <t>Count</t>
  </si>
  <si>
    <t>ParNums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</si>
  <si>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</si>
  <si>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</si>
  <si>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</si>
  <si>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</si>
  <si>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</si>
  <si>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</si>
  <si>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</si>
  <si>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</si>
  <si>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</si>
  <si>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</si>
  <si>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</si>
  <si>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</si>
  <si>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</si>
  <si>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</si>
  <si>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</si>
  <si>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</si>
  <si>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</si>
  <si>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</si>
  <si>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</si>
  <si>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</si>
  <si>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</si>
  <si>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</si>
  <si>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</si>
  <si>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</si>
  <si>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</si>
  <si>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</si>
  <si>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avg</t>
  </si>
  <si>
    <t>Quantile70_Group</t>
  </si>
  <si>
    <t>High importance &amp; High interaction</t>
  </si>
  <si>
    <t>High importance &amp; Low interaction</t>
  </si>
  <si>
    <t>max</t>
  </si>
  <si>
    <t>min</t>
  </si>
  <si>
    <t>group 5 (GW_DELAY)</t>
  </si>
  <si>
    <t>group 5 (RCHRG_DP)</t>
  </si>
  <si>
    <t>group 7 (RCHRG_DP)</t>
  </si>
  <si>
    <t>group 8 (GW_REVAP)</t>
  </si>
  <si>
    <t>group 8 (RCHRG_DP)</t>
  </si>
  <si>
    <t>group 10 (GW_REVAP)</t>
  </si>
  <si>
    <t>group 10 (GW_DELAY)</t>
  </si>
  <si>
    <t>group 10 (RCHRG_DP)</t>
  </si>
  <si>
    <t>group 12 (GWQMN)</t>
  </si>
  <si>
    <t>group 12 (RCHRG_DP)</t>
  </si>
  <si>
    <t>group 17 (GW_DELAY)</t>
  </si>
  <si>
    <t>group 13 (GW_DELAY)</t>
  </si>
  <si>
    <t>group 13 (GWQMN)</t>
  </si>
  <si>
    <t>group 13 (RCHRG_DP)</t>
  </si>
  <si>
    <t>group 5 (ESCO)</t>
  </si>
  <si>
    <t>group 10 (ESCO)</t>
  </si>
  <si>
    <t>group 13 (ESCO)</t>
  </si>
  <si>
    <t>group 2 (CN2)</t>
  </si>
  <si>
    <t>group 5 (CN2)</t>
  </si>
  <si>
    <t>group 8 (CN2)</t>
  </si>
  <si>
    <t>group 10 (CN2)</t>
  </si>
  <si>
    <t>group 12 (CN2)</t>
  </si>
  <si>
    <t>group 13 (CN2)</t>
  </si>
  <si>
    <t>group 8 (GW_DELAY)</t>
  </si>
  <si>
    <t>group 17 (RCHRG_DP)</t>
  </si>
  <si>
    <t>group 1 (ESCO)</t>
  </si>
  <si>
    <t>group 3 (ESCO)</t>
  </si>
  <si>
    <t>group 2 (ESCO)</t>
  </si>
  <si>
    <t>group 8 (ESCO)</t>
  </si>
  <si>
    <t>group 10 (EPCO)</t>
  </si>
  <si>
    <t>group 12 (ESCO)</t>
  </si>
  <si>
    <t>group 5 (GW_REVAP)</t>
  </si>
  <si>
    <t>group 10 (GWQMN)</t>
  </si>
  <si>
    <t>group 14 (GWQMN)</t>
  </si>
  <si>
    <t>group 17 (GWQMN)</t>
  </si>
  <si>
    <t>group 7 (CN2)</t>
  </si>
  <si>
    <t>group 17 (CN2)</t>
  </si>
  <si>
    <t>group 4 (ESCO)</t>
  </si>
  <si>
    <t>group 12 (GW_REVAP)</t>
  </si>
  <si>
    <t>group 1 (RCHRG_DP)</t>
  </si>
  <si>
    <t>group 14 (RCHRG_DP)</t>
  </si>
  <si>
    <t>group 7 (ESCO)</t>
  </si>
  <si>
    <t>group 17 (ESCO)</t>
  </si>
  <si>
    <t>group 1 (CN2)</t>
  </si>
  <si>
    <t>group 3 (CN2)</t>
  </si>
  <si>
    <t>group 4 (CN2)</t>
  </si>
  <si>
    <t>group 13 (GW_REVAP)</t>
  </si>
  <si>
    <t>group 13 (EPCO)</t>
  </si>
  <si>
    <t>group 14 (CN2)</t>
  </si>
  <si>
    <t>group 14 (ESCO)</t>
  </si>
  <si>
    <t>group 8 (EPCO)</t>
  </si>
  <si>
    <t>group 17 (EPCO)</t>
  </si>
  <si>
    <t>group 14 (GW_DELAY)</t>
  </si>
  <si>
    <t>group 12 (GW_DELAY)</t>
  </si>
  <si>
    <t>group 5 (EPCO)</t>
  </si>
  <si>
    <t>X</t>
  </si>
  <si>
    <t>S1</t>
  </si>
  <si>
    <t>S2</t>
  </si>
  <si>
    <t>A</t>
  </si>
  <si>
    <t>Max HL</t>
  </si>
  <si>
    <t>Max HH</t>
  </si>
  <si>
    <t>Avg HH</t>
  </si>
  <si>
    <t>Avg HL</t>
  </si>
  <si>
    <t>Min HH</t>
  </si>
  <si>
    <t>Min HL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</si>
  <si>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</si>
  <si>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</si>
  <si>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</si>
  <si>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</si>
  <si>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</si>
  <si>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</si>
  <si>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</si>
  <si>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</si>
  <si>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</si>
  <si>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</si>
  <si>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</si>
  <si>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</si>
  <si>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</si>
  <si>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</si>
  <si>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</si>
  <si>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</si>
  <si>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</si>
  <si>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</si>
  <si>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</si>
  <si>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</si>
  <si>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</si>
  <si>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</si>
  <si>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</si>
  <si>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</si>
  <si>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</si>
  <si>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</si>
  <si>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</si>
  <si>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Attribute</t>
  </si>
  <si>
    <t>Value</t>
  </si>
  <si>
    <t>Custom</t>
  </si>
  <si>
    <t>GroupNum</t>
  </si>
  <si>
    <t>GW_DELAY</t>
  </si>
  <si>
    <t>5</t>
  </si>
  <si>
    <t>RCHRG_DP</t>
  </si>
  <si>
    <t>7</t>
  </si>
  <si>
    <t>GW_REVAP</t>
  </si>
  <si>
    <t>8</t>
  </si>
  <si>
    <t>10</t>
  </si>
  <si>
    <t>GWQMN</t>
  </si>
  <si>
    <t>12</t>
  </si>
  <si>
    <t>17</t>
  </si>
  <si>
    <t>13</t>
  </si>
  <si>
    <t>ESCO</t>
  </si>
  <si>
    <t>CN2</t>
  </si>
  <si>
    <t>2</t>
  </si>
  <si>
    <t>14</t>
  </si>
  <si>
    <t>1</t>
  </si>
  <si>
    <t>3</t>
  </si>
  <si>
    <t>4</t>
  </si>
  <si>
    <t>EPCO</t>
  </si>
  <si>
    <t>Row Labels</t>
  </si>
  <si>
    <t>Grand Total</t>
  </si>
  <si>
    <t>Count of GroupNum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</si>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</sst>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Subbasin</a:t>
            </a:r>
            <a:r>
              <a:rPr lang="en-US" baseline="0"/>
              <a:t> group frequency (HH)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'Subbasin group frequency'!$B$1</c:f>
              <c:strCache>
                <c:ptCount val="1"/>
                <c:pt idx="0">
                  <c:v>Avg HH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frequency'!$B$2:$B$26</c:f>
              <c:numCache>
                <c:formatCode>General</c:formatCode>
                <c:ptCount val="25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2</c:v>
                </c:pt>
                <c:pt idx="4">
                  <c:v>39</c:v>
                </c:pt>
                <c:pt idx="5">
                  <c:v>0</c:v>
                </c:pt>
                <c:pt idx="6">
                  <c:v>11</c:v>
                </c:pt>
                <c:pt idx="7">
                  <c:v>20</c:v>
                </c:pt>
                <c:pt idx="8">
                  <c:v>0</c:v>
                </c:pt>
                <c:pt idx="9">
                  <c:v>49</c:v>
                </c:pt>
                <c:pt idx="10">
                  <c:v>0</c:v>
                </c:pt>
                <c:pt idx="11">
                  <c:v>25</c:v>
                </c:pt>
                <c:pt idx="12">
                  <c:v>37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A-42B0-B077-E3ECCEADA801}"/>
            </c:ext>
          </c:extLst>
        </c:ser>
        <c:ser>
          <c:idx val="1"/>
          <c:order val="1"/>
          <c:tx>
            <c:strRef>
              <c:f>'Subbasin group frequency'!$D$1</c:f>
              <c:strCache>
                <c:ptCount val="1"/>
                <c:pt idx="0">
                  <c:v>Max HH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frequency'!$D$2:$D$26</c:f>
              <c:numCache>
                <c:formatCode>General</c:formatCode>
                <c:ptCount val="25"/>
                <c:pt idx="0">
                  <c:v>4</c:v>
                </c:pt>
                <c:pt idx="1">
                  <c:v>13</c:v>
                </c:pt>
                <c:pt idx="2">
                  <c:v>5</c:v>
                </c:pt>
                <c:pt idx="3">
                  <c:v>3</c:v>
                </c:pt>
                <c:pt idx="4">
                  <c:v>34</c:v>
                </c:pt>
                <c:pt idx="5">
                  <c:v>0</c:v>
                </c:pt>
                <c:pt idx="6">
                  <c:v>15</c:v>
                </c:pt>
                <c:pt idx="7">
                  <c:v>20</c:v>
                </c:pt>
                <c:pt idx="8">
                  <c:v>0</c:v>
                </c:pt>
                <c:pt idx="9">
                  <c:v>58</c:v>
                </c:pt>
                <c:pt idx="10">
                  <c:v>0</c:v>
                </c:pt>
                <c:pt idx="11">
                  <c:v>22</c:v>
                </c:pt>
                <c:pt idx="12">
                  <c:v>44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A-42B0-B077-E3ECCEADA801}"/>
            </c:ext>
          </c:extLst>
        </c:ser>
        <c:ser>
          <c:idx val="2"/>
          <c:order val="2"/>
          <c:tx>
            <c:strRef>
              <c:f>'Subbasin group frequency'!$F$1</c:f>
              <c:strCache>
                <c:ptCount val="1"/>
                <c:pt idx="0">
                  <c:v>Min HH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frequency'!$F$2:$F$26</c:f>
              <c:numCache>
                <c:formatCode>General</c:formatCode>
                <c:ptCount val="25"/>
                <c:pt idx="0">
                  <c:v>3</c:v>
                </c:pt>
                <c:pt idx="1">
                  <c:v>11</c:v>
                </c:pt>
                <c:pt idx="2">
                  <c:v>2</c:v>
                </c:pt>
                <c:pt idx="3">
                  <c:v>4</c:v>
                </c:pt>
                <c:pt idx="4">
                  <c:v>38</c:v>
                </c:pt>
                <c:pt idx="5">
                  <c:v>0</c:v>
                </c:pt>
                <c:pt idx="6">
                  <c:v>17</c:v>
                </c:pt>
                <c:pt idx="7">
                  <c:v>34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20</c:v>
                </c:pt>
                <c:pt idx="12">
                  <c:v>39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A-42B0-B077-E3ECCEADA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273119"/>
        <c:axId val="1336276959"/>
      </c:barChart>
      <c:catAx>
        <c:axId val="133627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76959"/>
        <c:crosses val="autoZero"/>
        <c:auto val="1"/>
        <c:lblAlgn val="ctr"/>
        <c:lblOffset val="100"/>
        <c:noMultiLvlLbl val="0"/>
      </c:catAx>
      <c:valAx>
        <c:axId val="1336276959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7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Subbasin group frequency (HL)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'Subbasin group frequency'!$C$1</c:f>
              <c:strCache>
                <c:ptCount val="1"/>
                <c:pt idx="0">
                  <c:v>Avg HL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frequency'!$C$2:$C$26</c:f>
              <c:numCache>
                <c:formatCode>General</c:formatCode>
                <c:ptCount val="25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  <c:pt idx="6">
                  <c:v>10</c:v>
                </c:pt>
                <c:pt idx="7">
                  <c:v>7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6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8-4C75-AC65-6DE717C2C689}"/>
            </c:ext>
          </c:extLst>
        </c:ser>
        <c:ser>
          <c:idx val="1"/>
          <c:order val="1"/>
          <c:tx>
            <c:strRef>
              <c:f>'Subbasin group frequency'!$E$1</c:f>
              <c:strCache>
                <c:ptCount val="1"/>
                <c:pt idx="0">
                  <c:v>Max HL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frequency'!$E$2:$E$26</c:f>
              <c:numCache>
                <c:formatCode>General</c:formatCode>
                <c:ptCount val="2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7</c:v>
                </c:pt>
                <c:pt idx="12">
                  <c:v>5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8-4C75-AC65-6DE717C2C689}"/>
            </c:ext>
          </c:extLst>
        </c:ser>
        <c:ser>
          <c:idx val="2"/>
          <c:order val="2"/>
          <c:tx>
            <c:strRef>
              <c:f>'Subbasin group frequency'!$G$1</c:f>
              <c:strCache>
                <c:ptCount val="1"/>
                <c:pt idx="0">
                  <c:v>Min HL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frequency'!$G$2:$G$26</c:f>
              <c:numCache>
                <c:formatCode>General</c:formatCode>
                <c:ptCount val="25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5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</c:v>
                </c:pt>
                <c:pt idx="12">
                  <c:v>0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8-4C75-AC65-6DE717C2C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854863"/>
        <c:axId val="1231848623"/>
      </c:barChart>
      <c:catAx>
        <c:axId val="123185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48623"/>
        <c:crosses val="autoZero"/>
        <c:auto val="1"/>
        <c:lblAlgn val="ctr"/>
        <c:lblOffset val="100"/>
        <c:noMultiLvlLbl val="0"/>
      </c:catAx>
      <c:valAx>
        <c:axId val="1231848623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5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500062</xdr:colOff>
      <xdr:row>7</xdr:row>
      <xdr:rowOff>23812</xdr:rowOff>
    </xdr:from>
    <xdr:to>
      <xdr:col>16</xdr:col>
      <xdr:colOff>195262</xdr:colOff>
      <xdr:row>21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82C84E-9CD4-DED3-7CCB-AAE95FE1E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119062</xdr:colOff>
      <xdr:row>22</xdr:row>
      <xdr:rowOff>71437</xdr:rowOff>
    </xdr:from>
    <xdr:to>
      <xdr:col>16</xdr:col>
      <xdr:colOff>423862</xdr:colOff>
      <xdr:row>36</xdr:row>
      <xdr:rowOff>147637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27C628-BDD3-169F-DB11-9121824CE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Sanghyup" refreshedDate="46077.661418518517" createdVersion="8" refreshedVersion="8" minRefreshableVersion="3" recordCount="55" xr:uid="{3E436871-2C6B-4AD8-9EF0-DA8EF9498E9A}">
  <cacheSource type="worksheet">
    <worksheetSource name="Table1_1"/>
  </cacheSource>
  <cacheFields count="4">
    <cacheField name="Attribute" numFmtId="0">
      <sharedItems/>
    </cacheField>
    <cacheField name="Value" numFmtId="0">
      <sharedItems/>
    </cacheField>
    <cacheField name="Custom" numFmtId="0">
      <sharedItems count="7">
        <s v="GW_DELAY"/>
        <s v="RCHRG_DP"/>
        <s v="GW_REVAP"/>
        <s v="GWQMN"/>
        <s v="ESCO"/>
        <s v="CN2"/>
        <s v="EPCO"/>
      </sharedItems>
    </cacheField>
    <cacheField name="GroupNum" numFmtId="0">
      <sharedItems count="12">
        <s v="5"/>
        <s v="7"/>
        <s v="8"/>
        <s v="10"/>
        <s v="12"/>
        <s v="17"/>
        <s v="13"/>
        <s v="2"/>
        <s v="14"/>
        <s v="1"/>
        <s v="3"/>
        <s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Column1"/>
    <s v="group 5 (GW_DELAY)"/>
    <x v="0"/>
    <x v="0"/>
  </r>
  <r>
    <s v="Column2"/>
    <s v="group 5 (RCHRG_DP)"/>
    <x v="1"/>
    <x v="0"/>
  </r>
  <r>
    <s v="Column3"/>
    <s v="group 7 (RCHRG_DP)"/>
    <x v="1"/>
    <x v="1"/>
  </r>
  <r>
    <s v="Column4"/>
    <s v="group 8 (GW_REVAP)"/>
    <x v="2"/>
    <x v="2"/>
  </r>
  <r>
    <s v="Column5"/>
    <s v="group 8 (RCHRG_DP)"/>
    <x v="1"/>
    <x v="2"/>
  </r>
  <r>
    <s v="Column6"/>
    <s v="group 10 (GW_REVAP)"/>
    <x v="2"/>
    <x v="3"/>
  </r>
  <r>
    <s v="Column7"/>
    <s v="group 10 (GW_DELAY)"/>
    <x v="0"/>
    <x v="3"/>
  </r>
  <r>
    <s v="Column8"/>
    <s v="group 10 (RCHRG_DP)"/>
    <x v="1"/>
    <x v="3"/>
  </r>
  <r>
    <s v="Column9"/>
    <s v="group 12 (GWQMN)"/>
    <x v="3"/>
    <x v="4"/>
  </r>
  <r>
    <s v="Column10"/>
    <s v="group 12 (RCHRG_DP)"/>
    <x v="1"/>
    <x v="4"/>
  </r>
  <r>
    <s v="Column11"/>
    <s v="group 17 (GW_DELAY)"/>
    <x v="0"/>
    <x v="5"/>
  </r>
  <r>
    <s v="Column12"/>
    <s v="group 13 (GW_DELAY)"/>
    <x v="0"/>
    <x v="6"/>
  </r>
  <r>
    <s v="Column13"/>
    <s v="group 13 (GWQMN)"/>
    <x v="3"/>
    <x v="6"/>
  </r>
  <r>
    <s v="Column14"/>
    <s v="group 13 (RCHRG_DP)"/>
    <x v="1"/>
    <x v="6"/>
  </r>
  <r>
    <s v="Column15"/>
    <s v="group 5 (ESCO)"/>
    <x v="4"/>
    <x v="0"/>
  </r>
  <r>
    <s v="Column16"/>
    <s v="group 10 (ESCO)"/>
    <x v="4"/>
    <x v="3"/>
  </r>
  <r>
    <s v="Column17"/>
    <s v="group 13 (ESCO)"/>
    <x v="4"/>
    <x v="6"/>
  </r>
  <r>
    <s v="Column18"/>
    <s v="group 2 (CN2)"/>
    <x v="5"/>
    <x v="7"/>
  </r>
  <r>
    <s v="Column19"/>
    <s v="group 5 (CN2)"/>
    <x v="5"/>
    <x v="0"/>
  </r>
  <r>
    <s v="Column20"/>
    <s v="group 8 (CN2)"/>
    <x v="5"/>
    <x v="2"/>
  </r>
  <r>
    <s v="Column21"/>
    <s v="group 10 (CN2)"/>
    <x v="5"/>
    <x v="3"/>
  </r>
  <r>
    <s v="Column22"/>
    <s v="group 12 (CN2)"/>
    <x v="5"/>
    <x v="4"/>
  </r>
  <r>
    <s v="Column23"/>
    <s v="group 13 (CN2)"/>
    <x v="5"/>
    <x v="6"/>
  </r>
  <r>
    <s v="Column1"/>
    <s v="group 5 (GW_REVAP)"/>
    <x v="2"/>
    <x v="0"/>
  </r>
  <r>
    <s v="Column7"/>
    <s v="group 10 (GWQMN)"/>
    <x v="3"/>
    <x v="3"/>
  </r>
  <r>
    <s v="Column9"/>
    <s v="group 14 (GWQMN)"/>
    <x v="3"/>
    <x v="8"/>
  </r>
  <r>
    <s v="Column12"/>
    <s v="group 17 (GWQMN)"/>
    <x v="3"/>
    <x v="5"/>
  </r>
  <r>
    <s v="Column13"/>
    <s v="group 17 (RCHRG_DP)"/>
    <x v="1"/>
    <x v="5"/>
  </r>
  <r>
    <s v="Column16"/>
    <s v="group 2 (ESCO)"/>
    <x v="4"/>
    <x v="7"/>
  </r>
  <r>
    <s v="Column22"/>
    <s v="group 7 (CN2)"/>
    <x v="5"/>
    <x v="1"/>
  </r>
  <r>
    <s v="Column25"/>
    <s v="group 17 (CN2)"/>
    <x v="5"/>
    <x v="5"/>
  </r>
  <r>
    <s v="Column9"/>
    <s v="group 12 (GW_REVAP)"/>
    <x v="2"/>
    <x v="4"/>
  </r>
  <r>
    <s v="Column18"/>
    <s v="group 8 (ESCO)"/>
    <x v="4"/>
    <x v="2"/>
  </r>
  <r>
    <s v="Column9"/>
    <s v="group 1 (ESCO)"/>
    <x v="4"/>
    <x v="9"/>
  </r>
  <r>
    <s v="Column14"/>
    <s v="group 1 (CN2)"/>
    <x v="5"/>
    <x v="9"/>
  </r>
  <r>
    <s v="Column15"/>
    <s v="group 3 (CN2)"/>
    <x v="5"/>
    <x v="10"/>
  </r>
  <r>
    <s v="Column17"/>
    <s v="group 4 (CN2)"/>
    <x v="5"/>
    <x v="11"/>
  </r>
  <r>
    <s v="Column17"/>
    <s v="group 7 (ESCO)"/>
    <x v="4"/>
    <x v="1"/>
  </r>
  <r>
    <s v="Column18"/>
    <s v="group 12 (ESCO)"/>
    <x v="4"/>
    <x v="4"/>
  </r>
  <r>
    <s v="Column13"/>
    <s v="group 13 (GW_REVAP)"/>
    <x v="2"/>
    <x v="6"/>
  </r>
  <r>
    <s v="Column5"/>
    <s v="group 8 (GW_DELAY)"/>
    <x v="0"/>
    <x v="2"/>
  </r>
  <r>
    <s v="Column4"/>
    <s v="group 3 (ESCO)"/>
    <x v="4"/>
    <x v="10"/>
  </r>
  <r>
    <s v="Column7"/>
    <s v="group 10 (EPCO)"/>
    <x v="6"/>
    <x v="3"/>
  </r>
  <r>
    <s v="Column3"/>
    <s v="group 4 (ESCO)"/>
    <x v="4"/>
    <x v="11"/>
  </r>
  <r>
    <s v="Column1"/>
    <s v="group 1 (RCHRG_DP)"/>
    <x v="1"/>
    <x v="9"/>
  </r>
  <r>
    <s v="Column2"/>
    <s v="group 14 (RCHRG_DP)"/>
    <x v="1"/>
    <x v="8"/>
  </r>
  <r>
    <s v="Column7"/>
    <s v="group 17 (ESCO)"/>
    <x v="4"/>
    <x v="5"/>
  </r>
  <r>
    <s v="Column18"/>
    <s v="group 13 (EPCO)"/>
    <x v="6"/>
    <x v="6"/>
  </r>
  <r>
    <s v="Column24"/>
    <s v="group 14 (CN2)"/>
    <x v="5"/>
    <x v="8"/>
  </r>
  <r>
    <s v="Column9"/>
    <s v="group 8 (EPCO)"/>
    <x v="6"/>
    <x v="2"/>
  </r>
  <r>
    <s v="Column12"/>
    <s v="group 14 (ESCO)"/>
    <x v="4"/>
    <x v="8"/>
  </r>
  <r>
    <s v="Column14"/>
    <s v="group 17 (EPCO)"/>
    <x v="6"/>
    <x v="5"/>
  </r>
  <r>
    <s v="Column8"/>
    <s v="group 14 (GW_DELAY)"/>
    <x v="0"/>
    <x v="8"/>
  </r>
  <r>
    <s v="Column9"/>
    <s v="group 12 (GW_DELAY)"/>
    <x v="0"/>
    <x v="4"/>
  </r>
  <r>
    <s v="Column3"/>
    <s v="group 5 (EPCO)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35B42-6F20-4F00-9C68-1744487FDEA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2" firstHeaderRow="1" firstDataRow="2" firstDataCol="1"/>
  <pivotFields count="4">
    <pivotField showAll="0"/>
    <pivotField showAll="0"/>
    <pivotField axis="axisRow" showAll="0">
      <items count="8">
        <item x="5"/>
        <item x="6"/>
        <item x="4"/>
        <item x="0"/>
        <item x="2"/>
        <item x="3"/>
        <item x="1"/>
        <item t="default"/>
      </items>
    </pivotField>
    <pivotField axis="axisCol" dataField="1" showAll="0">
      <items count="13">
        <item x="9"/>
        <item x="3"/>
        <item x="4"/>
        <item x="6"/>
        <item x="8"/>
        <item x="5"/>
        <item x="7"/>
        <item x="10"/>
        <item x="11"/>
        <item x="0"/>
        <item x="1"/>
        <item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GroupNum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64AE7C-D628-417B-954A-2A54B2B62717}" autoFormatId="16" applyNumberFormats="0" applyBorderFormats="0" applyFontFormats="0" applyPatternFormats="0" applyAlignmentFormats="0" applyWidthHeightFormats="0">
  <queryTableRefresh nextId="5">
    <queryTableFields count="4">
      <queryTableField id="1" name="Attribute" tableColumnId="1"/>
      <queryTableField id="2" name="Value" tableColumnId="2"/>
      <queryTableField id="3" name="Custom" tableColumnId="3"/>
      <queryTableField id="4" name="GroupNu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D40C5-1FB6-48F5-BA4C-FE2F486217E9}" name="Table1_1" displayName="Table1_1" ref="A1:D56" tableType="queryTable" totalsRowShown="0">
  <autoFilter ref="A1:D56" xr:uid="{303D40C5-1FB6-48F5-BA4C-FE2F486217E9}"/>
  <tableColumns count="4">
    <tableColumn id="1" xr3:uid="{DEA64E61-ECA3-424A-9975-FD25CC801C44}" uniqueName="1" name="Attribute" queryTableFieldId="1" dataDxfId="1"/>
    <tableColumn id="2" xr3:uid="{417511F1-2BBD-4363-8544-6462A9D9158B}" uniqueName="2" name="Value" queryTableFieldId="2" dataDxfId="0"/>
    <tableColumn id="3" xr3:uid="{C3B458CF-5D70-4F04-91C4-5DDD48AEA56A}" uniqueName="3" name="Custom" queryTableFieldId="3"/>
    <tableColumn id="4" xr3:uid="{D284BA67-EFBC-478D-8B81-9519AF52DFFD}" uniqueName="4" name="GroupNum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361F9-A46F-487B-BECC-C014021BA7F4}" name="Table1" displayName="Table1" ref="A1:AA61" totalsRowShown="0">
  <autoFilter ref="A1:AA61" xr:uid="{34A361F9-A46F-487B-BECC-C014021BA7F4}"/>
  <tableColumns count="27">
    <tableColumn id="1" xr3:uid="{C799C6BB-0929-4C6D-902C-EFAAFB3CE259}" name="Column1"/>
    <tableColumn id="2" xr3:uid="{8C495E24-31F7-4512-A4B9-C464BEF66630}" name="Column2"/>
    <tableColumn id="3" xr3:uid="{873387C5-A5BD-4F81-84B2-7869593F43A5}" name="Column3"/>
    <tableColumn id="4" xr3:uid="{B29E5EEB-0414-47FD-842E-8BD4B41655C2}" name="Column4"/>
    <tableColumn id="5" xr3:uid="{9DAC7F71-6668-4839-80CF-493F0C8E9A6D}" name="Column5"/>
    <tableColumn id="6" xr3:uid="{26EB52D0-B8FB-42DA-9643-6F818CF07717}" name="Column6"/>
    <tableColumn id="7" xr3:uid="{348C56CC-3364-4C2E-8C25-A787B41FD91B}" name="Column7"/>
    <tableColumn id="8" xr3:uid="{AE91B49A-003F-45B4-BA66-8643F28F3E06}" name="Column8"/>
    <tableColumn id="9" xr3:uid="{A8556B69-9C45-43CB-84EC-92AE7BE570C0}" name="Column9"/>
    <tableColumn id="10" xr3:uid="{3DEC3B54-0D73-481C-94FE-CCDF5271F0F2}" name="Column10"/>
    <tableColumn id="11" xr3:uid="{44159362-6193-477E-864C-0D8221804D27}" name="Column11"/>
    <tableColumn id="12" xr3:uid="{C0A918E8-62D4-4124-A12D-28E8F3DF74A0}" name="Column12"/>
    <tableColumn id="13" xr3:uid="{63F1DD4C-22B6-4D3C-B675-51B6B72F5E0F}" name="Column13"/>
    <tableColumn id="14" xr3:uid="{6CCF7C2C-B14A-4F0A-B27B-FC5193130A21}" name="Column14"/>
    <tableColumn id="15" xr3:uid="{54A9ACC6-9E62-4B9C-9928-BE33C612454E}" name="Column15"/>
    <tableColumn id="16" xr3:uid="{990817DD-CF1C-488C-BDDF-16B4415CE40E}" name="Column16"/>
    <tableColumn id="17" xr3:uid="{74B95039-52A2-4D7E-89F9-3AD04D6DB3D1}" name="Column17"/>
    <tableColumn id="18" xr3:uid="{FD4D7467-0B13-4A1B-A3B4-A3E4A6C3FF73}" name="Column18"/>
    <tableColumn id="19" xr3:uid="{521B2867-71FF-4CBD-A400-6A12FCB91130}" name="Column19"/>
    <tableColumn id="20" xr3:uid="{383D7FDD-94CD-40CB-8D3B-6B54EE51BDF2}" name="Column20"/>
    <tableColumn id="21" xr3:uid="{C22BABD4-D550-423C-BE39-19BFC45CD576}" name="Column21"/>
    <tableColumn id="22" xr3:uid="{48C2D272-9D3C-4B6A-AD59-5E1EAF760213}" name="Column22"/>
    <tableColumn id="23" xr3:uid="{95B1C6E8-D784-4387-A2AF-CFEF61DE4DD6}" name="Column23"/>
    <tableColumn id="24" xr3:uid="{333EF301-E231-40E5-AA4D-7DDA29DAA4E4}" name="Column24"/>
    <tableColumn id="25" xr3:uid="{95ECF5C2-6897-4F04-BDE1-06C635F0A0B7}" name="Column25"/>
    <tableColumn id="26" xr3:uid="{FF1969F1-9E02-4451-9720-4A2EC79327AE}" name="Column26"/>
    <tableColumn id="27" xr3:uid="{A166534E-5991-4F69-B19C-F980BE138C11}" name="Column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"/>
  <sheetViews>
    <sheetView topLeftCell="XEB19" workbookViewId="0">
      <selection activeCell="F2" sqref="F2:XFD61"/>
    </sheetView>
  </sheetViews>
  <sheetFormatPr defaultRowHeight="15" x14ac:dyDescent="0.25"/>
  <cols>
    <col min="3" max="3" width="17.42578125" bestFit="1" customWidth="1"/>
    <col min="4" max="4" width="32.7109375" bestFit="1" customWidth="1"/>
    <col min="6" max="6" width="20.28515625" bestFit="1" customWidth="1"/>
    <col min="7" max="7" width="20.7109375" bestFit="1" customWidth="1"/>
    <col min="8" max="8" width="16.42578125" bestFit="1" customWidth="1"/>
    <col min="9" max="16" width="20.7109375" bestFit="1" customWidth="1"/>
    <col min="17" max="17" width="20.28515625" bestFit="1" customWidth="1"/>
    <col min="18" max="18" width="20.7109375" bestFit="1" customWidth="1"/>
    <col min="19" max="19" width="20.28515625" bestFit="1" customWidth="1"/>
    <col min="20" max="20" width="20.7109375" bestFit="1" customWidth="1"/>
    <col min="21" max="21" width="20.28515625" bestFit="1" customWidth="1"/>
    <col min="22" max="22" width="18.42578125" bestFit="1" customWidth="1"/>
    <col min="23" max="23" width="20.140625" bestFit="1" customWidth="1"/>
    <col min="24" max="28" width="15.140625" bestFit="1" customWidth="1"/>
    <col min="29" max="32" width="14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2011</v>
      </c>
      <c r="B2" t="s">
        <v>32</v>
      </c>
      <c r="C2" t="s">
        <v>33</v>
      </c>
      <c r="D2" t="s">
        <v>34</v>
      </c>
      <c r="E2">
        <v>23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</row>
    <row r="3" spans="1:32" x14ac:dyDescent="0.25">
      <c r="A3">
        <v>2012</v>
      </c>
      <c r="B3" t="s">
        <v>32</v>
      </c>
      <c r="C3" t="s">
        <v>33</v>
      </c>
      <c r="D3" t="s">
        <v>34</v>
      </c>
      <c r="E3">
        <v>26</v>
      </c>
      <c r="F3" t="s">
        <v>69</v>
      </c>
      <c r="G3" t="s">
        <v>39</v>
      </c>
      <c r="H3" t="s">
        <v>40</v>
      </c>
      <c r="I3" t="s">
        <v>42</v>
      </c>
      <c r="J3" t="s">
        <v>43</v>
      </c>
      <c r="K3" t="s">
        <v>44</v>
      </c>
      <c r="L3" t="s">
        <v>70</v>
      </c>
      <c r="M3" t="s">
        <v>45</v>
      </c>
      <c r="N3" t="s">
        <v>71</v>
      </c>
      <c r="O3" t="s">
        <v>46</v>
      </c>
      <c r="P3" t="s">
        <v>47</v>
      </c>
      <c r="Q3" t="s">
        <v>72</v>
      </c>
      <c r="R3" t="s">
        <v>62</v>
      </c>
      <c r="S3" t="s">
        <v>50</v>
      </c>
      <c r="T3" t="s">
        <v>51</v>
      </c>
      <c r="U3" t="s">
        <v>65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73</v>
      </c>
      <c r="AB3" t="s">
        <v>57</v>
      </c>
      <c r="AC3" t="s">
        <v>58</v>
      </c>
      <c r="AD3" t="s">
        <v>74</v>
      </c>
      <c r="AE3" t="s">
        <v>60</v>
      </c>
    </row>
    <row r="4" spans="1:32" x14ac:dyDescent="0.25">
      <c r="A4">
        <v>2013</v>
      </c>
      <c r="B4" t="s">
        <v>32</v>
      </c>
      <c r="C4" t="s">
        <v>33</v>
      </c>
      <c r="D4" t="s">
        <v>34</v>
      </c>
      <c r="E4">
        <v>25</v>
      </c>
      <c r="F4" t="s">
        <v>69</v>
      </c>
      <c r="G4" t="s">
        <v>39</v>
      </c>
      <c r="H4" t="s">
        <v>40</v>
      </c>
      <c r="I4" t="s">
        <v>42</v>
      </c>
      <c r="J4" t="s">
        <v>43</v>
      </c>
      <c r="K4" t="s">
        <v>44</v>
      </c>
      <c r="L4" t="s">
        <v>70</v>
      </c>
      <c r="M4" t="s">
        <v>45</v>
      </c>
      <c r="N4" t="s">
        <v>76</v>
      </c>
      <c r="O4" t="s">
        <v>46</v>
      </c>
      <c r="P4" t="s">
        <v>47</v>
      </c>
      <c r="Q4" t="s">
        <v>72</v>
      </c>
      <c r="R4" t="s">
        <v>62</v>
      </c>
      <c r="S4" t="s">
        <v>49</v>
      </c>
      <c r="T4" t="s">
        <v>50</v>
      </c>
      <c r="U4" t="s">
        <v>51</v>
      </c>
      <c r="V4" t="s">
        <v>52</v>
      </c>
      <c r="W4" t="s">
        <v>66</v>
      </c>
      <c r="X4" t="s">
        <v>53</v>
      </c>
      <c r="Y4" t="s">
        <v>54</v>
      </c>
      <c r="Z4" t="s">
        <v>56</v>
      </c>
      <c r="AA4" t="s">
        <v>73</v>
      </c>
      <c r="AB4" t="s">
        <v>57</v>
      </c>
      <c r="AC4" t="s">
        <v>58</v>
      </c>
      <c r="AD4" t="s">
        <v>60</v>
      </c>
    </row>
    <row r="5" spans="1:32" x14ac:dyDescent="0.25">
      <c r="A5">
        <v>2014</v>
      </c>
      <c r="B5" t="s">
        <v>32</v>
      </c>
      <c r="C5" t="s">
        <v>33</v>
      </c>
      <c r="D5" t="s">
        <v>34</v>
      </c>
      <c r="E5">
        <v>24</v>
      </c>
      <c r="F5" t="s">
        <v>39</v>
      </c>
      <c r="G5" t="s">
        <v>42</v>
      </c>
      <c r="H5" t="s">
        <v>43</v>
      </c>
      <c r="I5" t="s">
        <v>44</v>
      </c>
      <c r="J5" t="s">
        <v>45</v>
      </c>
      <c r="K5" t="s">
        <v>47</v>
      </c>
      <c r="L5" t="s">
        <v>50</v>
      </c>
      <c r="M5" t="s">
        <v>51</v>
      </c>
      <c r="N5" t="s">
        <v>63</v>
      </c>
      <c r="O5" t="s">
        <v>65</v>
      </c>
      <c r="P5" t="s">
        <v>52</v>
      </c>
      <c r="Q5" t="s">
        <v>53</v>
      </c>
      <c r="R5" t="s">
        <v>54</v>
      </c>
      <c r="S5" t="s">
        <v>81</v>
      </c>
      <c r="T5" t="s">
        <v>82</v>
      </c>
      <c r="U5" t="s">
        <v>55</v>
      </c>
      <c r="V5" t="s">
        <v>83</v>
      </c>
      <c r="W5" t="s">
        <v>56</v>
      </c>
      <c r="X5" t="s">
        <v>73</v>
      </c>
      <c r="Y5" t="s">
        <v>57</v>
      </c>
      <c r="Z5" t="s">
        <v>58</v>
      </c>
      <c r="AA5" t="s">
        <v>59</v>
      </c>
      <c r="AB5" t="s">
        <v>74</v>
      </c>
      <c r="AC5" t="s">
        <v>60</v>
      </c>
    </row>
    <row r="6" spans="1:32" x14ac:dyDescent="0.25">
      <c r="A6">
        <v>2015</v>
      </c>
      <c r="B6" t="s">
        <v>32</v>
      </c>
      <c r="C6" t="s">
        <v>33</v>
      </c>
      <c r="D6" t="s">
        <v>34</v>
      </c>
      <c r="E6">
        <v>25</v>
      </c>
      <c r="F6" t="s">
        <v>69</v>
      </c>
      <c r="G6" t="s">
        <v>38</v>
      </c>
      <c r="H6" t="s">
        <v>39</v>
      </c>
      <c r="I6" t="s">
        <v>40</v>
      </c>
      <c r="J6" t="s">
        <v>42</v>
      </c>
      <c r="K6" t="s">
        <v>43</v>
      </c>
      <c r="L6" t="s">
        <v>70</v>
      </c>
      <c r="M6" t="s">
        <v>45</v>
      </c>
      <c r="N6" t="s">
        <v>76</v>
      </c>
      <c r="O6" t="s">
        <v>46</v>
      </c>
      <c r="P6" t="s">
        <v>47</v>
      </c>
      <c r="Q6" t="s">
        <v>72</v>
      </c>
      <c r="R6" t="s">
        <v>62</v>
      </c>
      <c r="S6" t="s">
        <v>49</v>
      </c>
      <c r="T6" t="s">
        <v>50</v>
      </c>
      <c r="U6" t="s">
        <v>51</v>
      </c>
      <c r="V6" t="s">
        <v>79</v>
      </c>
      <c r="W6" t="s">
        <v>66</v>
      </c>
      <c r="X6" t="s">
        <v>53</v>
      </c>
      <c r="Y6" t="s">
        <v>54</v>
      </c>
      <c r="Z6" t="s">
        <v>56</v>
      </c>
      <c r="AA6" t="s">
        <v>73</v>
      </c>
      <c r="AB6" t="s">
        <v>57</v>
      </c>
      <c r="AC6" t="s">
        <v>58</v>
      </c>
      <c r="AD6" t="s">
        <v>60</v>
      </c>
    </row>
    <row r="7" spans="1:32" x14ac:dyDescent="0.25">
      <c r="A7">
        <v>2016</v>
      </c>
      <c r="B7" t="s">
        <v>32</v>
      </c>
      <c r="C7" t="s">
        <v>33</v>
      </c>
      <c r="D7" t="s">
        <v>34</v>
      </c>
      <c r="E7">
        <v>24</v>
      </c>
      <c r="F7" t="s">
        <v>69</v>
      </c>
      <c r="G7" t="s">
        <v>39</v>
      </c>
      <c r="H7" t="s">
        <v>40</v>
      </c>
      <c r="I7" t="s">
        <v>42</v>
      </c>
      <c r="J7" t="s">
        <v>43</v>
      </c>
      <c r="K7" t="s">
        <v>44</v>
      </c>
      <c r="L7" t="s">
        <v>70</v>
      </c>
      <c r="M7" t="s">
        <v>45</v>
      </c>
      <c r="N7" t="s">
        <v>47</v>
      </c>
      <c r="O7" t="s">
        <v>72</v>
      </c>
      <c r="P7" t="s">
        <v>50</v>
      </c>
      <c r="Q7" t="s">
        <v>51</v>
      </c>
      <c r="R7" t="s">
        <v>65</v>
      </c>
      <c r="S7" t="s">
        <v>52</v>
      </c>
      <c r="T7" t="s">
        <v>53</v>
      </c>
      <c r="U7" t="s">
        <v>54</v>
      </c>
      <c r="V7" t="s">
        <v>55</v>
      </c>
      <c r="W7" t="s">
        <v>56</v>
      </c>
      <c r="X7" t="s">
        <v>73</v>
      </c>
      <c r="Y7" t="s">
        <v>57</v>
      </c>
      <c r="Z7" t="s">
        <v>58</v>
      </c>
      <c r="AA7" t="s">
        <v>59</v>
      </c>
      <c r="AB7" t="s">
        <v>74</v>
      </c>
      <c r="AC7" t="s">
        <v>60</v>
      </c>
    </row>
    <row r="8" spans="1:32" x14ac:dyDescent="0.25">
      <c r="A8">
        <v>2017</v>
      </c>
      <c r="B8" t="s">
        <v>32</v>
      </c>
      <c r="C8" t="s">
        <v>33</v>
      </c>
      <c r="D8" t="s">
        <v>34</v>
      </c>
      <c r="E8">
        <v>25</v>
      </c>
      <c r="F8" t="s">
        <v>69</v>
      </c>
      <c r="G8" t="s">
        <v>38</v>
      </c>
      <c r="H8" t="s">
        <v>39</v>
      </c>
      <c r="I8" t="s">
        <v>40</v>
      </c>
      <c r="J8" t="s">
        <v>42</v>
      </c>
      <c r="K8" t="s">
        <v>43</v>
      </c>
      <c r="L8" t="s">
        <v>44</v>
      </c>
      <c r="M8" t="s">
        <v>70</v>
      </c>
      <c r="N8" t="s">
        <v>45</v>
      </c>
      <c r="O8" t="s">
        <v>76</v>
      </c>
      <c r="P8" t="s">
        <v>46</v>
      </c>
      <c r="Q8" t="s">
        <v>47</v>
      </c>
      <c r="R8" t="s">
        <v>72</v>
      </c>
      <c r="S8" t="s">
        <v>50</v>
      </c>
      <c r="T8" t="s">
        <v>51</v>
      </c>
      <c r="U8" t="s">
        <v>52</v>
      </c>
      <c r="V8" t="s">
        <v>53</v>
      </c>
      <c r="W8" t="s">
        <v>68</v>
      </c>
      <c r="X8" t="s">
        <v>54</v>
      </c>
      <c r="Y8" t="s">
        <v>55</v>
      </c>
      <c r="Z8" t="s">
        <v>56</v>
      </c>
      <c r="AA8" t="s">
        <v>57</v>
      </c>
      <c r="AB8" t="s">
        <v>58</v>
      </c>
      <c r="AC8" t="s">
        <v>74</v>
      </c>
      <c r="AD8" t="s">
        <v>60</v>
      </c>
    </row>
    <row r="9" spans="1:32" x14ac:dyDescent="0.25">
      <c r="A9">
        <v>2018</v>
      </c>
      <c r="B9" t="s">
        <v>32</v>
      </c>
      <c r="C9" t="s">
        <v>33</v>
      </c>
      <c r="D9" t="s">
        <v>34</v>
      </c>
      <c r="E9">
        <v>26</v>
      </c>
      <c r="F9" t="s">
        <v>69</v>
      </c>
      <c r="G9" t="s">
        <v>39</v>
      </c>
      <c r="H9" t="s">
        <v>40</v>
      </c>
      <c r="I9" t="s">
        <v>42</v>
      </c>
      <c r="J9" t="s">
        <v>43</v>
      </c>
      <c r="K9" t="s">
        <v>44</v>
      </c>
      <c r="L9" t="s">
        <v>70</v>
      </c>
      <c r="M9" t="s">
        <v>45</v>
      </c>
      <c r="N9" t="s">
        <v>76</v>
      </c>
      <c r="O9" t="s">
        <v>46</v>
      </c>
      <c r="P9" t="s">
        <v>47</v>
      </c>
      <c r="Q9" t="s">
        <v>72</v>
      </c>
      <c r="R9" t="s">
        <v>84</v>
      </c>
      <c r="S9" t="s">
        <v>50</v>
      </c>
      <c r="T9" t="s">
        <v>51</v>
      </c>
      <c r="U9" t="s">
        <v>52</v>
      </c>
      <c r="V9" t="s">
        <v>66</v>
      </c>
      <c r="W9" t="s">
        <v>53</v>
      </c>
      <c r="X9" t="s">
        <v>68</v>
      </c>
      <c r="Y9" t="s">
        <v>54</v>
      </c>
      <c r="Z9" t="s">
        <v>55</v>
      </c>
      <c r="AA9" t="s">
        <v>56</v>
      </c>
      <c r="AB9" t="s">
        <v>57</v>
      </c>
      <c r="AC9" t="s">
        <v>58</v>
      </c>
      <c r="AD9" t="s">
        <v>74</v>
      </c>
      <c r="AE9" t="s">
        <v>60</v>
      </c>
    </row>
    <row r="10" spans="1:32" x14ac:dyDescent="0.25">
      <c r="A10">
        <v>2019</v>
      </c>
      <c r="B10" t="s">
        <v>32</v>
      </c>
      <c r="C10" t="s">
        <v>33</v>
      </c>
      <c r="D10" t="s">
        <v>34</v>
      </c>
      <c r="E10">
        <v>27</v>
      </c>
      <c r="F10" t="s">
        <v>69</v>
      </c>
      <c r="G10" t="s">
        <v>38</v>
      </c>
      <c r="H10" t="s">
        <v>39</v>
      </c>
      <c r="I10" t="s">
        <v>40</v>
      </c>
      <c r="J10" t="s">
        <v>61</v>
      </c>
      <c r="K10" t="s">
        <v>42</v>
      </c>
      <c r="L10" t="s">
        <v>43</v>
      </c>
      <c r="M10" t="s">
        <v>44</v>
      </c>
      <c r="N10" t="s">
        <v>70</v>
      </c>
      <c r="O10" t="s">
        <v>45</v>
      </c>
      <c r="P10" t="s">
        <v>76</v>
      </c>
      <c r="Q10" t="s">
        <v>46</v>
      </c>
      <c r="R10" t="s">
        <v>47</v>
      </c>
      <c r="S10" t="s">
        <v>48</v>
      </c>
      <c r="T10" t="s">
        <v>84</v>
      </c>
      <c r="U10" t="s">
        <v>49</v>
      </c>
      <c r="V10" t="s">
        <v>50</v>
      </c>
      <c r="W10" t="s">
        <v>51</v>
      </c>
      <c r="X10" t="s">
        <v>52</v>
      </c>
      <c r="Y10" t="s">
        <v>66</v>
      </c>
      <c r="Z10" t="s">
        <v>53</v>
      </c>
      <c r="AA10" t="s">
        <v>68</v>
      </c>
      <c r="AB10" t="s">
        <v>54</v>
      </c>
      <c r="AC10" t="s">
        <v>55</v>
      </c>
      <c r="AD10" t="s">
        <v>56</v>
      </c>
      <c r="AE10" t="s">
        <v>57</v>
      </c>
      <c r="AF10" t="s">
        <v>58</v>
      </c>
    </row>
    <row r="11" spans="1:32" x14ac:dyDescent="0.25">
      <c r="A11">
        <v>2020</v>
      </c>
      <c r="B11" t="s">
        <v>32</v>
      </c>
      <c r="C11" t="s">
        <v>33</v>
      </c>
      <c r="D11" t="s">
        <v>34</v>
      </c>
      <c r="E11">
        <v>25</v>
      </c>
      <c r="F11" t="s">
        <v>38</v>
      </c>
      <c r="G11" t="s">
        <v>39</v>
      </c>
      <c r="H11" t="s">
        <v>42</v>
      </c>
      <c r="I11" t="s">
        <v>43</v>
      </c>
      <c r="J11" t="s">
        <v>44</v>
      </c>
      <c r="K11" t="s">
        <v>45</v>
      </c>
      <c r="L11" t="s">
        <v>47</v>
      </c>
      <c r="M11" t="s">
        <v>62</v>
      </c>
      <c r="N11" t="s">
        <v>84</v>
      </c>
      <c r="O11" t="s">
        <v>49</v>
      </c>
      <c r="P11" t="s">
        <v>50</v>
      </c>
      <c r="Q11" t="s">
        <v>51</v>
      </c>
      <c r="R11" t="s">
        <v>65</v>
      </c>
      <c r="S11" t="s">
        <v>52</v>
      </c>
      <c r="T11" t="s">
        <v>66</v>
      </c>
      <c r="U11" t="s">
        <v>53</v>
      </c>
      <c r="V11" t="s">
        <v>68</v>
      </c>
      <c r="W11" t="s">
        <v>54</v>
      </c>
      <c r="X11" t="s">
        <v>55</v>
      </c>
      <c r="Y11" t="s">
        <v>83</v>
      </c>
      <c r="Z11" t="s">
        <v>56</v>
      </c>
      <c r="AA11" t="s">
        <v>57</v>
      </c>
      <c r="AB11" t="s">
        <v>58</v>
      </c>
      <c r="AC11" t="s">
        <v>74</v>
      </c>
      <c r="AD11" t="s">
        <v>60</v>
      </c>
    </row>
    <row r="12" spans="1:32" x14ac:dyDescent="0.25">
      <c r="A12">
        <v>2011</v>
      </c>
      <c r="B12" t="s">
        <v>32</v>
      </c>
      <c r="C12" t="s">
        <v>33</v>
      </c>
      <c r="D12" t="s">
        <v>35</v>
      </c>
      <c r="E12">
        <v>8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</row>
    <row r="13" spans="1:32" x14ac:dyDescent="0.25">
      <c r="A13">
        <v>2012</v>
      </c>
      <c r="B13" t="s">
        <v>32</v>
      </c>
      <c r="C13" t="s">
        <v>33</v>
      </c>
      <c r="D13" t="s">
        <v>35</v>
      </c>
      <c r="E13">
        <v>6</v>
      </c>
      <c r="F13" t="s">
        <v>63</v>
      </c>
      <c r="G13" t="s">
        <v>64</v>
      </c>
      <c r="H13" t="s">
        <v>75</v>
      </c>
      <c r="I13" t="s">
        <v>66</v>
      </c>
      <c r="J13" t="s">
        <v>67</v>
      </c>
      <c r="K13" t="s">
        <v>68</v>
      </c>
    </row>
    <row r="14" spans="1:32" x14ac:dyDescent="0.25">
      <c r="A14">
        <v>2013</v>
      </c>
      <c r="B14" t="s">
        <v>32</v>
      </c>
      <c r="C14" t="s">
        <v>33</v>
      </c>
      <c r="D14" t="s">
        <v>35</v>
      </c>
      <c r="E14">
        <v>7</v>
      </c>
      <c r="F14" t="s">
        <v>77</v>
      </c>
      <c r="G14" t="s">
        <v>78</v>
      </c>
      <c r="H14" t="s">
        <v>64</v>
      </c>
      <c r="I14" t="s">
        <v>65</v>
      </c>
      <c r="J14" t="s">
        <v>79</v>
      </c>
      <c r="K14" t="s">
        <v>68</v>
      </c>
      <c r="L14" t="s">
        <v>80</v>
      </c>
    </row>
    <row r="15" spans="1:32" x14ac:dyDescent="0.25">
      <c r="A15">
        <v>2014</v>
      </c>
      <c r="B15" t="s">
        <v>32</v>
      </c>
      <c r="C15" t="s">
        <v>33</v>
      </c>
      <c r="D15" t="s">
        <v>35</v>
      </c>
      <c r="E15">
        <v>8</v>
      </c>
      <c r="F15" t="s">
        <v>40</v>
      </c>
      <c r="G15" t="s">
        <v>49</v>
      </c>
      <c r="H15" t="s">
        <v>64</v>
      </c>
      <c r="I15" t="s">
        <v>75</v>
      </c>
      <c r="J15" t="s">
        <v>79</v>
      </c>
      <c r="K15" t="s">
        <v>66</v>
      </c>
      <c r="L15" t="s">
        <v>68</v>
      </c>
      <c r="M15" t="s">
        <v>80</v>
      </c>
    </row>
    <row r="16" spans="1:32" x14ac:dyDescent="0.25">
      <c r="A16">
        <v>2015</v>
      </c>
      <c r="B16" t="s">
        <v>32</v>
      </c>
      <c r="C16" t="s">
        <v>33</v>
      </c>
      <c r="D16" t="s">
        <v>35</v>
      </c>
      <c r="E16">
        <v>7</v>
      </c>
      <c r="F16" t="s">
        <v>44</v>
      </c>
      <c r="G16" t="s">
        <v>63</v>
      </c>
      <c r="H16" t="s">
        <v>64</v>
      </c>
      <c r="I16" t="s">
        <v>65</v>
      </c>
      <c r="J16" t="s">
        <v>75</v>
      </c>
      <c r="K16" t="s">
        <v>52</v>
      </c>
      <c r="L16" t="s">
        <v>68</v>
      </c>
    </row>
    <row r="17" spans="1:32" x14ac:dyDescent="0.25">
      <c r="A17">
        <v>2016</v>
      </c>
      <c r="B17" t="s">
        <v>32</v>
      </c>
      <c r="C17" t="s">
        <v>33</v>
      </c>
      <c r="D17" t="s">
        <v>35</v>
      </c>
      <c r="E17">
        <v>8</v>
      </c>
      <c r="F17" t="s">
        <v>62</v>
      </c>
      <c r="G17" t="s">
        <v>63</v>
      </c>
      <c r="H17" t="s">
        <v>64</v>
      </c>
      <c r="I17" t="s">
        <v>75</v>
      </c>
      <c r="J17" t="s">
        <v>79</v>
      </c>
      <c r="K17" t="s">
        <v>66</v>
      </c>
      <c r="L17" t="s">
        <v>68</v>
      </c>
      <c r="M17" t="s">
        <v>80</v>
      </c>
    </row>
    <row r="18" spans="1:32" x14ac:dyDescent="0.25">
      <c r="A18">
        <v>2017</v>
      </c>
      <c r="B18" t="s">
        <v>32</v>
      </c>
      <c r="C18" t="s">
        <v>33</v>
      </c>
      <c r="D18" t="s">
        <v>35</v>
      </c>
      <c r="E18">
        <v>8</v>
      </c>
      <c r="F18" t="s">
        <v>49</v>
      </c>
      <c r="G18" t="s">
        <v>63</v>
      </c>
      <c r="H18" t="s">
        <v>64</v>
      </c>
      <c r="I18" t="s">
        <v>65</v>
      </c>
      <c r="J18" t="s">
        <v>75</v>
      </c>
      <c r="K18" t="s">
        <v>79</v>
      </c>
      <c r="L18" t="s">
        <v>66</v>
      </c>
      <c r="M18" t="s">
        <v>80</v>
      </c>
    </row>
    <row r="19" spans="1:32" x14ac:dyDescent="0.25">
      <c r="A19">
        <v>2018</v>
      </c>
      <c r="B19" t="s">
        <v>32</v>
      </c>
      <c r="C19" t="s">
        <v>33</v>
      </c>
      <c r="D19" t="s">
        <v>35</v>
      </c>
      <c r="E19">
        <v>7</v>
      </c>
      <c r="F19" t="s">
        <v>63</v>
      </c>
      <c r="G19" t="s">
        <v>64</v>
      </c>
      <c r="H19" t="s">
        <v>65</v>
      </c>
      <c r="I19" t="s">
        <v>75</v>
      </c>
      <c r="J19" t="s">
        <v>79</v>
      </c>
      <c r="K19" t="s">
        <v>80</v>
      </c>
      <c r="L19" t="s">
        <v>73</v>
      </c>
    </row>
    <row r="20" spans="1:32" x14ac:dyDescent="0.25">
      <c r="A20">
        <v>2019</v>
      </c>
      <c r="B20" t="s">
        <v>32</v>
      </c>
      <c r="C20" t="s">
        <v>33</v>
      </c>
      <c r="D20" t="s">
        <v>35</v>
      </c>
      <c r="E20">
        <v>6</v>
      </c>
      <c r="F20" t="s">
        <v>62</v>
      </c>
      <c r="G20" t="s">
        <v>65</v>
      </c>
      <c r="H20" t="s">
        <v>79</v>
      </c>
      <c r="I20" t="s">
        <v>67</v>
      </c>
      <c r="J20" t="s">
        <v>80</v>
      </c>
      <c r="K20" t="s">
        <v>73</v>
      </c>
    </row>
    <row r="21" spans="1:32" x14ac:dyDescent="0.25">
      <c r="A21">
        <v>2020</v>
      </c>
      <c r="B21" t="s">
        <v>32</v>
      </c>
      <c r="C21" t="s">
        <v>33</v>
      </c>
      <c r="D21" t="s">
        <v>35</v>
      </c>
      <c r="E21">
        <v>7</v>
      </c>
      <c r="F21" t="s">
        <v>40</v>
      </c>
      <c r="G21" t="s">
        <v>61</v>
      </c>
      <c r="H21" t="s">
        <v>63</v>
      </c>
      <c r="I21" t="s">
        <v>64</v>
      </c>
      <c r="J21" t="s">
        <v>75</v>
      </c>
      <c r="K21" t="s">
        <v>67</v>
      </c>
      <c r="L21" t="s">
        <v>80</v>
      </c>
    </row>
    <row r="22" spans="1:32" x14ac:dyDescent="0.25">
      <c r="A22">
        <v>2011</v>
      </c>
      <c r="B22" t="s">
        <v>36</v>
      </c>
      <c r="C22" t="s">
        <v>33</v>
      </c>
      <c r="D22" t="s">
        <v>34</v>
      </c>
      <c r="E22">
        <v>27</v>
      </c>
      <c r="F22" t="s">
        <v>38</v>
      </c>
      <c r="G22" t="s">
        <v>39</v>
      </c>
      <c r="H22" t="s">
        <v>43</v>
      </c>
      <c r="I22" t="s">
        <v>44</v>
      </c>
      <c r="J22" t="s">
        <v>45</v>
      </c>
      <c r="K22" t="s">
        <v>49</v>
      </c>
      <c r="L22" t="s">
        <v>50</v>
      </c>
      <c r="M22" t="s">
        <v>51</v>
      </c>
      <c r="N22" t="s">
        <v>65</v>
      </c>
      <c r="O22" t="s">
        <v>52</v>
      </c>
      <c r="P22" t="s">
        <v>79</v>
      </c>
      <c r="Q22" t="s">
        <v>66</v>
      </c>
      <c r="R22" t="s">
        <v>53</v>
      </c>
      <c r="S22" t="s">
        <v>67</v>
      </c>
      <c r="T22" t="s">
        <v>68</v>
      </c>
      <c r="U22" t="s">
        <v>80</v>
      </c>
      <c r="V22" t="s">
        <v>54</v>
      </c>
      <c r="W22" t="s">
        <v>85</v>
      </c>
      <c r="X22" t="s">
        <v>55</v>
      </c>
      <c r="Y22" t="s">
        <v>56</v>
      </c>
      <c r="Z22" t="s">
        <v>73</v>
      </c>
      <c r="AA22" t="s">
        <v>57</v>
      </c>
      <c r="AB22" t="s">
        <v>58</v>
      </c>
      <c r="AC22" t="s">
        <v>86</v>
      </c>
      <c r="AD22" t="s">
        <v>59</v>
      </c>
      <c r="AE22" t="s">
        <v>74</v>
      </c>
      <c r="AF22" t="s">
        <v>60</v>
      </c>
    </row>
    <row r="23" spans="1:32" x14ac:dyDescent="0.25">
      <c r="A23">
        <v>2012</v>
      </c>
      <c r="B23" t="s">
        <v>36</v>
      </c>
      <c r="C23" t="s">
        <v>33</v>
      </c>
      <c r="D23" t="s">
        <v>34</v>
      </c>
      <c r="E23">
        <v>22</v>
      </c>
      <c r="F23" t="s">
        <v>39</v>
      </c>
      <c r="G23" t="s">
        <v>43</v>
      </c>
      <c r="H23" t="s">
        <v>44</v>
      </c>
      <c r="I23" t="s">
        <v>70</v>
      </c>
      <c r="J23" t="s">
        <v>45</v>
      </c>
      <c r="K23" t="s">
        <v>50</v>
      </c>
      <c r="L23" t="s">
        <v>51</v>
      </c>
      <c r="M23" t="s">
        <v>65</v>
      </c>
      <c r="N23" t="s">
        <v>52</v>
      </c>
      <c r="O23" t="s">
        <v>66</v>
      </c>
      <c r="P23" t="s">
        <v>53</v>
      </c>
      <c r="Q23" t="s">
        <v>67</v>
      </c>
      <c r="R23" t="s">
        <v>54</v>
      </c>
      <c r="S23" t="s">
        <v>81</v>
      </c>
      <c r="T23" t="s">
        <v>56</v>
      </c>
      <c r="U23" t="s">
        <v>73</v>
      </c>
      <c r="V23" t="s">
        <v>57</v>
      </c>
      <c r="W23" t="s">
        <v>58</v>
      </c>
      <c r="X23" t="s">
        <v>86</v>
      </c>
      <c r="Y23" t="s">
        <v>59</v>
      </c>
      <c r="Z23" t="s">
        <v>74</v>
      </c>
      <c r="AA23" t="s">
        <v>60</v>
      </c>
    </row>
    <row r="24" spans="1:32" x14ac:dyDescent="0.25">
      <c r="A24">
        <v>2013</v>
      </c>
      <c r="B24" t="s">
        <v>36</v>
      </c>
      <c r="C24" t="s">
        <v>33</v>
      </c>
      <c r="D24" t="s">
        <v>34</v>
      </c>
      <c r="E24">
        <v>25</v>
      </c>
      <c r="F24" t="s">
        <v>69</v>
      </c>
      <c r="G24" t="s">
        <v>38</v>
      </c>
      <c r="H24" t="s">
        <v>39</v>
      </c>
      <c r="I24" t="s">
        <v>42</v>
      </c>
      <c r="J24" t="s">
        <v>43</v>
      </c>
      <c r="K24" t="s">
        <v>44</v>
      </c>
      <c r="L24" t="s">
        <v>70</v>
      </c>
      <c r="M24" t="s">
        <v>45</v>
      </c>
      <c r="N24" t="s">
        <v>76</v>
      </c>
      <c r="O24" t="s">
        <v>46</v>
      </c>
      <c r="P24" t="s">
        <v>47</v>
      </c>
      <c r="Q24" t="s">
        <v>72</v>
      </c>
      <c r="R24" t="s">
        <v>50</v>
      </c>
      <c r="S24" t="s">
        <v>51</v>
      </c>
      <c r="T24" t="s">
        <v>64</v>
      </c>
      <c r="U24" t="s">
        <v>52</v>
      </c>
      <c r="V24" t="s">
        <v>53</v>
      </c>
      <c r="W24" t="s">
        <v>54</v>
      </c>
      <c r="X24" t="s">
        <v>82</v>
      </c>
      <c r="Y24" t="s">
        <v>55</v>
      </c>
      <c r="Z24" t="s">
        <v>83</v>
      </c>
      <c r="AA24" t="s">
        <v>57</v>
      </c>
      <c r="AB24" t="s">
        <v>58</v>
      </c>
      <c r="AC24" t="s">
        <v>59</v>
      </c>
      <c r="AD24" t="s">
        <v>60</v>
      </c>
    </row>
    <row r="25" spans="1:32" x14ac:dyDescent="0.25">
      <c r="A25">
        <v>2014</v>
      </c>
      <c r="B25" t="s">
        <v>36</v>
      </c>
      <c r="C25" t="s">
        <v>33</v>
      </c>
      <c r="D25" t="s">
        <v>34</v>
      </c>
      <c r="E25">
        <v>27</v>
      </c>
      <c r="F25" t="s">
        <v>38</v>
      </c>
      <c r="G25" t="s">
        <v>39</v>
      </c>
      <c r="H25" t="s">
        <v>44</v>
      </c>
      <c r="I25" t="s">
        <v>45</v>
      </c>
      <c r="J25" t="s">
        <v>50</v>
      </c>
      <c r="K25" t="s">
        <v>51</v>
      </c>
      <c r="L25" t="s">
        <v>79</v>
      </c>
      <c r="M25" t="s">
        <v>66</v>
      </c>
      <c r="N25" t="s">
        <v>88</v>
      </c>
      <c r="O25" t="s">
        <v>53</v>
      </c>
      <c r="P25" t="s">
        <v>67</v>
      </c>
      <c r="Q25" t="s">
        <v>87</v>
      </c>
      <c r="R25" t="s">
        <v>68</v>
      </c>
      <c r="S25" t="s">
        <v>80</v>
      </c>
      <c r="T25" t="s">
        <v>54</v>
      </c>
      <c r="U25" t="s">
        <v>81</v>
      </c>
      <c r="V25" t="s">
        <v>82</v>
      </c>
      <c r="W25" t="s">
        <v>55</v>
      </c>
      <c r="X25" t="s">
        <v>83</v>
      </c>
      <c r="Y25" t="s">
        <v>56</v>
      </c>
      <c r="Z25" t="s">
        <v>73</v>
      </c>
      <c r="AA25" t="s">
        <v>57</v>
      </c>
      <c r="AB25" t="s">
        <v>58</v>
      </c>
      <c r="AC25" t="s">
        <v>86</v>
      </c>
      <c r="AD25" t="s">
        <v>59</v>
      </c>
      <c r="AE25" t="s">
        <v>74</v>
      </c>
      <c r="AF25" t="s">
        <v>60</v>
      </c>
    </row>
    <row r="26" spans="1:32" x14ac:dyDescent="0.25">
      <c r="A26">
        <v>2015</v>
      </c>
      <c r="B26" t="s">
        <v>36</v>
      </c>
      <c r="C26" t="s">
        <v>33</v>
      </c>
      <c r="D26" t="s">
        <v>34</v>
      </c>
      <c r="E26">
        <v>25</v>
      </c>
      <c r="F26" t="s">
        <v>69</v>
      </c>
      <c r="G26" t="s">
        <v>38</v>
      </c>
      <c r="H26" t="s">
        <v>39</v>
      </c>
      <c r="I26" t="s">
        <v>40</v>
      </c>
      <c r="J26" t="s">
        <v>43</v>
      </c>
      <c r="K26" t="s">
        <v>44</v>
      </c>
      <c r="L26" t="s">
        <v>70</v>
      </c>
      <c r="M26" t="s">
        <v>45</v>
      </c>
      <c r="N26" t="s">
        <v>47</v>
      </c>
      <c r="O26" t="s">
        <v>72</v>
      </c>
      <c r="P26" t="s">
        <v>49</v>
      </c>
      <c r="Q26" t="s">
        <v>50</v>
      </c>
      <c r="R26" t="s">
        <v>51</v>
      </c>
      <c r="S26" t="s">
        <v>79</v>
      </c>
      <c r="T26" t="s">
        <v>66</v>
      </c>
      <c r="U26" t="s">
        <v>53</v>
      </c>
      <c r="V26" t="s">
        <v>54</v>
      </c>
      <c r="W26" t="s">
        <v>56</v>
      </c>
      <c r="X26" t="s">
        <v>73</v>
      </c>
      <c r="Y26" t="s">
        <v>57</v>
      </c>
      <c r="Z26" t="s">
        <v>58</v>
      </c>
      <c r="AA26" t="s">
        <v>86</v>
      </c>
      <c r="AB26" t="s">
        <v>59</v>
      </c>
      <c r="AC26" t="s">
        <v>74</v>
      </c>
      <c r="AD26" t="s">
        <v>60</v>
      </c>
    </row>
    <row r="27" spans="1:32" x14ac:dyDescent="0.25">
      <c r="A27">
        <v>2016</v>
      </c>
      <c r="B27" t="s">
        <v>36</v>
      </c>
      <c r="C27" t="s">
        <v>33</v>
      </c>
      <c r="D27" t="s">
        <v>34</v>
      </c>
      <c r="E27">
        <v>23</v>
      </c>
      <c r="F27" t="s">
        <v>39</v>
      </c>
      <c r="G27" t="s">
        <v>43</v>
      </c>
      <c r="H27" t="s">
        <v>44</v>
      </c>
      <c r="I27" t="s">
        <v>45</v>
      </c>
      <c r="J27" t="s">
        <v>51</v>
      </c>
      <c r="K27" t="s">
        <v>65</v>
      </c>
      <c r="L27" t="s">
        <v>52</v>
      </c>
      <c r="M27" t="s">
        <v>79</v>
      </c>
      <c r="N27" t="s">
        <v>66</v>
      </c>
      <c r="O27" t="s">
        <v>53</v>
      </c>
      <c r="P27" t="s">
        <v>80</v>
      </c>
      <c r="Q27" t="s">
        <v>54</v>
      </c>
      <c r="R27" t="s">
        <v>81</v>
      </c>
      <c r="S27" t="s">
        <v>82</v>
      </c>
      <c r="T27" t="s">
        <v>55</v>
      </c>
      <c r="U27" t="s">
        <v>56</v>
      </c>
      <c r="V27" t="s">
        <v>73</v>
      </c>
      <c r="W27" t="s">
        <v>57</v>
      </c>
      <c r="X27" t="s">
        <v>58</v>
      </c>
      <c r="Y27" t="s">
        <v>86</v>
      </c>
      <c r="Z27" t="s">
        <v>59</v>
      </c>
      <c r="AA27" t="s">
        <v>74</v>
      </c>
      <c r="AB27" t="s">
        <v>60</v>
      </c>
    </row>
    <row r="28" spans="1:32" x14ac:dyDescent="0.25">
      <c r="A28">
        <v>2017</v>
      </c>
      <c r="B28" t="s">
        <v>36</v>
      </c>
      <c r="C28" t="s">
        <v>33</v>
      </c>
      <c r="D28" t="s">
        <v>34</v>
      </c>
      <c r="E28">
        <v>23</v>
      </c>
      <c r="F28" t="s">
        <v>69</v>
      </c>
      <c r="G28" t="s">
        <v>39</v>
      </c>
      <c r="H28" t="s">
        <v>43</v>
      </c>
      <c r="I28" t="s">
        <v>44</v>
      </c>
      <c r="J28" t="s">
        <v>70</v>
      </c>
      <c r="K28" t="s">
        <v>45</v>
      </c>
      <c r="L28" t="s">
        <v>72</v>
      </c>
      <c r="M28" t="s">
        <v>50</v>
      </c>
      <c r="N28" t="s">
        <v>51</v>
      </c>
      <c r="O28" t="s">
        <v>53</v>
      </c>
      <c r="P28" t="s">
        <v>68</v>
      </c>
      <c r="Q28" t="s">
        <v>54</v>
      </c>
      <c r="R28" t="s">
        <v>81</v>
      </c>
      <c r="S28" t="s">
        <v>82</v>
      </c>
      <c r="T28" t="s">
        <v>55</v>
      </c>
      <c r="U28" t="s">
        <v>56</v>
      </c>
      <c r="V28" t="s">
        <v>73</v>
      </c>
      <c r="W28" t="s">
        <v>57</v>
      </c>
      <c r="X28" t="s">
        <v>58</v>
      </c>
      <c r="Y28" t="s">
        <v>86</v>
      </c>
      <c r="Z28" t="s">
        <v>59</v>
      </c>
      <c r="AA28" t="s">
        <v>74</v>
      </c>
      <c r="AB28" t="s">
        <v>60</v>
      </c>
    </row>
    <row r="29" spans="1:32" x14ac:dyDescent="0.25">
      <c r="A29">
        <v>2018</v>
      </c>
      <c r="B29" t="s">
        <v>36</v>
      </c>
      <c r="C29" t="s">
        <v>33</v>
      </c>
      <c r="D29" t="s">
        <v>34</v>
      </c>
      <c r="E29">
        <v>24</v>
      </c>
      <c r="F29" t="s">
        <v>69</v>
      </c>
      <c r="G29" t="s">
        <v>39</v>
      </c>
      <c r="H29" t="s">
        <v>44</v>
      </c>
      <c r="I29" t="s">
        <v>70</v>
      </c>
      <c r="J29" t="s">
        <v>45</v>
      </c>
      <c r="K29" t="s">
        <v>76</v>
      </c>
      <c r="L29" t="s">
        <v>46</v>
      </c>
      <c r="M29" t="s">
        <v>72</v>
      </c>
      <c r="N29" t="s">
        <v>50</v>
      </c>
      <c r="O29" t="s">
        <v>51</v>
      </c>
      <c r="P29" t="s">
        <v>66</v>
      </c>
      <c r="Q29" t="s">
        <v>53</v>
      </c>
      <c r="R29" t="s">
        <v>67</v>
      </c>
      <c r="S29" t="s">
        <v>68</v>
      </c>
      <c r="T29" t="s">
        <v>54</v>
      </c>
      <c r="U29" t="s">
        <v>55</v>
      </c>
      <c r="V29" t="s">
        <v>56</v>
      </c>
      <c r="W29" t="s">
        <v>73</v>
      </c>
      <c r="X29" t="s">
        <v>57</v>
      </c>
      <c r="Y29" t="s">
        <v>58</v>
      </c>
      <c r="Z29" t="s">
        <v>86</v>
      </c>
      <c r="AA29" t="s">
        <v>59</v>
      </c>
      <c r="AB29" t="s">
        <v>74</v>
      </c>
      <c r="AC29" t="s">
        <v>60</v>
      </c>
    </row>
    <row r="30" spans="1:32" x14ac:dyDescent="0.25">
      <c r="A30">
        <v>2019</v>
      </c>
      <c r="B30" t="s">
        <v>36</v>
      </c>
      <c r="C30" t="s">
        <v>33</v>
      </c>
      <c r="D30" t="s">
        <v>34</v>
      </c>
      <c r="E30">
        <v>26</v>
      </c>
      <c r="F30" t="s">
        <v>69</v>
      </c>
      <c r="G30" t="s">
        <v>39</v>
      </c>
      <c r="H30" t="s">
        <v>43</v>
      </c>
      <c r="I30" t="s">
        <v>44</v>
      </c>
      <c r="J30" t="s">
        <v>45</v>
      </c>
      <c r="K30" t="s">
        <v>84</v>
      </c>
      <c r="L30" t="s">
        <v>50</v>
      </c>
      <c r="M30" t="s">
        <v>51</v>
      </c>
      <c r="N30" t="s">
        <v>65</v>
      </c>
      <c r="O30" t="s">
        <v>66</v>
      </c>
      <c r="P30" t="s">
        <v>53</v>
      </c>
      <c r="Q30" t="s">
        <v>67</v>
      </c>
      <c r="R30" t="s">
        <v>68</v>
      </c>
      <c r="S30" t="s">
        <v>80</v>
      </c>
      <c r="T30" t="s">
        <v>54</v>
      </c>
      <c r="U30" t="s">
        <v>85</v>
      </c>
      <c r="V30" t="s">
        <v>55</v>
      </c>
      <c r="W30" t="s">
        <v>83</v>
      </c>
      <c r="X30" t="s">
        <v>56</v>
      </c>
      <c r="Y30" t="s">
        <v>73</v>
      </c>
      <c r="Z30" t="s">
        <v>57</v>
      </c>
      <c r="AA30" t="s">
        <v>58</v>
      </c>
      <c r="AB30" t="s">
        <v>86</v>
      </c>
      <c r="AC30" t="s">
        <v>59</v>
      </c>
      <c r="AD30" t="s">
        <v>74</v>
      </c>
      <c r="AE30" t="s">
        <v>60</v>
      </c>
    </row>
    <row r="31" spans="1:32" x14ac:dyDescent="0.25">
      <c r="A31">
        <v>2020</v>
      </c>
      <c r="B31" t="s">
        <v>36</v>
      </c>
      <c r="C31" t="s">
        <v>33</v>
      </c>
      <c r="D31" t="s">
        <v>34</v>
      </c>
      <c r="E31">
        <v>25</v>
      </c>
      <c r="F31" t="s">
        <v>38</v>
      </c>
      <c r="G31" t="s">
        <v>39</v>
      </c>
      <c r="H31" t="s">
        <v>43</v>
      </c>
      <c r="I31" t="s">
        <v>45</v>
      </c>
      <c r="J31" t="s">
        <v>51</v>
      </c>
      <c r="K31" t="s">
        <v>65</v>
      </c>
      <c r="L31" t="s">
        <v>52</v>
      </c>
      <c r="M31" t="s">
        <v>79</v>
      </c>
      <c r="N31" t="s">
        <v>66</v>
      </c>
      <c r="O31" t="s">
        <v>53</v>
      </c>
      <c r="P31" t="s">
        <v>67</v>
      </c>
      <c r="Q31" t="s">
        <v>68</v>
      </c>
      <c r="R31" t="s">
        <v>80</v>
      </c>
      <c r="S31" t="s">
        <v>89</v>
      </c>
      <c r="T31" t="s">
        <v>54</v>
      </c>
      <c r="U31" t="s">
        <v>85</v>
      </c>
      <c r="V31" t="s">
        <v>55</v>
      </c>
      <c r="W31" t="s">
        <v>56</v>
      </c>
      <c r="X31" t="s">
        <v>73</v>
      </c>
      <c r="Y31" t="s">
        <v>57</v>
      </c>
      <c r="Z31" t="s">
        <v>58</v>
      </c>
      <c r="AA31" t="s">
        <v>86</v>
      </c>
      <c r="AB31" t="s">
        <v>59</v>
      </c>
      <c r="AC31" t="s">
        <v>74</v>
      </c>
      <c r="AD31" t="s">
        <v>60</v>
      </c>
    </row>
    <row r="32" spans="1:32" x14ac:dyDescent="0.25">
      <c r="A32">
        <v>2011</v>
      </c>
      <c r="B32" t="s">
        <v>36</v>
      </c>
      <c r="C32" t="s">
        <v>33</v>
      </c>
      <c r="D32" t="s">
        <v>35</v>
      </c>
      <c r="E32">
        <v>4</v>
      </c>
      <c r="F32" t="s">
        <v>63</v>
      </c>
      <c r="G32" t="s">
        <v>64</v>
      </c>
      <c r="H32" t="s">
        <v>75</v>
      </c>
      <c r="I32" t="s">
        <v>87</v>
      </c>
    </row>
    <row r="33" spans="1:31" x14ac:dyDescent="0.25">
      <c r="A33">
        <v>2012</v>
      </c>
      <c r="B33" t="s">
        <v>36</v>
      </c>
      <c r="C33" t="s">
        <v>33</v>
      </c>
      <c r="D33" t="s">
        <v>35</v>
      </c>
      <c r="E33">
        <v>7</v>
      </c>
      <c r="F33" t="s">
        <v>38</v>
      </c>
      <c r="G33" t="s">
        <v>63</v>
      </c>
      <c r="H33" t="s">
        <v>68</v>
      </c>
      <c r="I33" t="s">
        <v>80</v>
      </c>
      <c r="J33" t="s">
        <v>82</v>
      </c>
      <c r="K33" t="s">
        <v>55</v>
      </c>
      <c r="L33" t="s">
        <v>83</v>
      </c>
    </row>
    <row r="34" spans="1:31" x14ac:dyDescent="0.25">
      <c r="A34">
        <v>2013</v>
      </c>
      <c r="B34" t="s">
        <v>36</v>
      </c>
      <c r="C34" t="s">
        <v>33</v>
      </c>
      <c r="D34" t="s">
        <v>35</v>
      </c>
      <c r="E34">
        <v>5</v>
      </c>
      <c r="F34" t="s">
        <v>49</v>
      </c>
      <c r="G34" t="s">
        <v>65</v>
      </c>
      <c r="H34" t="s">
        <v>66</v>
      </c>
      <c r="I34" t="s">
        <v>68</v>
      </c>
      <c r="J34" t="s">
        <v>73</v>
      </c>
    </row>
    <row r="35" spans="1:31" x14ac:dyDescent="0.25">
      <c r="A35">
        <v>2014</v>
      </c>
      <c r="B35" t="s">
        <v>36</v>
      </c>
      <c r="C35" t="s">
        <v>33</v>
      </c>
      <c r="D35" t="s">
        <v>35</v>
      </c>
      <c r="E35">
        <v>2</v>
      </c>
      <c r="F35" t="s">
        <v>49</v>
      </c>
      <c r="G35" t="s">
        <v>52</v>
      </c>
    </row>
    <row r="36" spans="1:31" x14ac:dyDescent="0.25">
      <c r="A36">
        <v>2015</v>
      </c>
      <c r="B36" t="s">
        <v>36</v>
      </c>
      <c r="C36" t="s">
        <v>33</v>
      </c>
      <c r="D36" t="s">
        <v>35</v>
      </c>
      <c r="E36">
        <v>4</v>
      </c>
      <c r="F36" t="s">
        <v>42</v>
      </c>
      <c r="G36" t="s">
        <v>62</v>
      </c>
      <c r="H36" t="s">
        <v>52</v>
      </c>
      <c r="I36" t="s">
        <v>68</v>
      </c>
    </row>
    <row r="37" spans="1:31" x14ac:dyDescent="0.25">
      <c r="A37">
        <v>2016</v>
      </c>
      <c r="B37" t="s">
        <v>36</v>
      </c>
      <c r="C37" t="s">
        <v>33</v>
      </c>
      <c r="D37" t="s">
        <v>35</v>
      </c>
      <c r="E37">
        <v>5</v>
      </c>
      <c r="F37" t="s">
        <v>63</v>
      </c>
      <c r="G37" t="s">
        <v>64</v>
      </c>
      <c r="H37" t="s">
        <v>75</v>
      </c>
      <c r="I37" t="s">
        <v>68</v>
      </c>
      <c r="J37" t="s">
        <v>83</v>
      </c>
    </row>
    <row r="38" spans="1:31" x14ac:dyDescent="0.25">
      <c r="A38">
        <v>2017</v>
      </c>
      <c r="B38" t="s">
        <v>36</v>
      </c>
      <c r="C38" t="s">
        <v>33</v>
      </c>
      <c r="D38" t="s">
        <v>35</v>
      </c>
      <c r="E38">
        <v>6</v>
      </c>
      <c r="F38" t="s">
        <v>42</v>
      </c>
      <c r="G38" t="s">
        <v>47</v>
      </c>
      <c r="H38" t="s">
        <v>49</v>
      </c>
      <c r="I38" t="s">
        <v>52</v>
      </c>
      <c r="J38" t="s">
        <v>66</v>
      </c>
      <c r="K38" t="s">
        <v>83</v>
      </c>
    </row>
    <row r="39" spans="1:31" x14ac:dyDescent="0.25">
      <c r="A39">
        <v>2018</v>
      </c>
      <c r="B39" t="s">
        <v>36</v>
      </c>
      <c r="C39" t="s">
        <v>33</v>
      </c>
      <c r="D39" t="s">
        <v>35</v>
      </c>
      <c r="E39">
        <v>4</v>
      </c>
      <c r="F39" t="s">
        <v>47</v>
      </c>
      <c r="G39" t="s">
        <v>63</v>
      </c>
      <c r="H39" t="s">
        <v>65</v>
      </c>
      <c r="I39" t="s">
        <v>52</v>
      </c>
    </row>
    <row r="40" spans="1:31" x14ac:dyDescent="0.25">
      <c r="A40">
        <v>2019</v>
      </c>
      <c r="B40" t="s">
        <v>36</v>
      </c>
      <c r="C40" t="s">
        <v>33</v>
      </c>
      <c r="D40" t="s">
        <v>35</v>
      </c>
      <c r="E40">
        <v>5</v>
      </c>
      <c r="F40" t="s">
        <v>47</v>
      </c>
      <c r="G40" t="s">
        <v>49</v>
      </c>
      <c r="H40" t="s">
        <v>63</v>
      </c>
      <c r="I40" t="s">
        <v>64</v>
      </c>
      <c r="J40" t="s">
        <v>52</v>
      </c>
    </row>
    <row r="41" spans="1:31" x14ac:dyDescent="0.25">
      <c r="A41">
        <v>2020</v>
      </c>
      <c r="B41" t="s">
        <v>36</v>
      </c>
      <c r="C41" t="s">
        <v>33</v>
      </c>
      <c r="D41" t="s">
        <v>35</v>
      </c>
      <c r="E41">
        <v>3</v>
      </c>
      <c r="F41" t="s">
        <v>44</v>
      </c>
      <c r="G41" t="s">
        <v>49</v>
      </c>
      <c r="H41" t="s">
        <v>87</v>
      </c>
    </row>
    <row r="42" spans="1:31" x14ac:dyDescent="0.25">
      <c r="A42">
        <v>2011</v>
      </c>
      <c r="B42" t="s">
        <v>37</v>
      </c>
      <c r="C42" t="s">
        <v>33</v>
      </c>
      <c r="D42" t="s">
        <v>34</v>
      </c>
      <c r="E42">
        <v>23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62</v>
      </c>
      <c r="Q42" t="s">
        <v>49</v>
      </c>
      <c r="R42" t="s">
        <v>51</v>
      </c>
      <c r="S42" t="s">
        <v>52</v>
      </c>
      <c r="T42" t="s">
        <v>66</v>
      </c>
      <c r="U42" t="s">
        <v>53</v>
      </c>
      <c r="V42" t="s">
        <v>54</v>
      </c>
      <c r="W42" t="s">
        <v>55</v>
      </c>
      <c r="X42" t="s">
        <v>56</v>
      </c>
      <c r="Y42" t="s">
        <v>73</v>
      </c>
      <c r="Z42" t="s">
        <v>57</v>
      </c>
      <c r="AA42" t="s">
        <v>58</v>
      </c>
      <c r="AB42" t="s">
        <v>60</v>
      </c>
    </row>
    <row r="43" spans="1:31" x14ac:dyDescent="0.25">
      <c r="A43">
        <v>2012</v>
      </c>
      <c r="B43" t="s">
        <v>37</v>
      </c>
      <c r="C43" t="s">
        <v>33</v>
      </c>
      <c r="D43" t="s">
        <v>34</v>
      </c>
      <c r="E43">
        <v>24</v>
      </c>
      <c r="F43" t="s">
        <v>38</v>
      </c>
      <c r="G43" t="s">
        <v>39</v>
      </c>
      <c r="H43" t="s">
        <v>41</v>
      </c>
      <c r="I43" t="s">
        <v>43</v>
      </c>
      <c r="J43" t="s">
        <v>44</v>
      </c>
      <c r="K43" t="s">
        <v>45</v>
      </c>
      <c r="L43" t="s">
        <v>46</v>
      </c>
      <c r="M43" t="s">
        <v>47</v>
      </c>
      <c r="N43" t="s">
        <v>62</v>
      </c>
      <c r="O43" t="s">
        <v>49</v>
      </c>
      <c r="P43" t="s">
        <v>50</v>
      </c>
      <c r="Q43" t="s">
        <v>51</v>
      </c>
      <c r="R43" t="s">
        <v>63</v>
      </c>
      <c r="S43" t="s">
        <v>65</v>
      </c>
      <c r="T43" t="s">
        <v>52</v>
      </c>
      <c r="U43" t="s">
        <v>53</v>
      </c>
      <c r="V43" t="s">
        <v>54</v>
      </c>
      <c r="W43" t="s">
        <v>81</v>
      </c>
      <c r="X43" t="s">
        <v>55</v>
      </c>
      <c r="Y43" t="s">
        <v>83</v>
      </c>
      <c r="Z43" t="s">
        <v>56</v>
      </c>
      <c r="AA43" t="s">
        <v>73</v>
      </c>
      <c r="AB43" t="s">
        <v>58</v>
      </c>
      <c r="AC43" t="s">
        <v>60</v>
      </c>
    </row>
    <row r="44" spans="1:31" x14ac:dyDescent="0.25">
      <c r="A44">
        <v>2013</v>
      </c>
      <c r="B44" t="s">
        <v>37</v>
      </c>
      <c r="C44" t="s">
        <v>33</v>
      </c>
      <c r="D44" t="s">
        <v>34</v>
      </c>
      <c r="E44">
        <v>25</v>
      </c>
      <c r="F44" t="s">
        <v>38</v>
      </c>
      <c r="G44" t="s">
        <v>39</v>
      </c>
      <c r="H44" t="s">
        <v>40</v>
      </c>
      <c r="I44" t="s">
        <v>61</v>
      </c>
      <c r="J44" t="s">
        <v>42</v>
      </c>
      <c r="K44" t="s">
        <v>44</v>
      </c>
      <c r="L44" t="s">
        <v>45</v>
      </c>
      <c r="M44" t="s">
        <v>90</v>
      </c>
      <c r="N44" t="s">
        <v>91</v>
      </c>
      <c r="O44" t="s">
        <v>46</v>
      </c>
      <c r="P44" t="s">
        <v>47</v>
      </c>
      <c r="Q44" t="s">
        <v>48</v>
      </c>
      <c r="R44" t="s">
        <v>62</v>
      </c>
      <c r="S44" t="s">
        <v>49</v>
      </c>
      <c r="T44" t="s">
        <v>51</v>
      </c>
      <c r="U44" t="s">
        <v>52</v>
      </c>
      <c r="V44" t="s">
        <v>66</v>
      </c>
      <c r="W44" t="s">
        <v>53</v>
      </c>
      <c r="X44" t="s">
        <v>54</v>
      </c>
      <c r="Y44" t="s">
        <v>55</v>
      </c>
      <c r="Z44" t="s">
        <v>56</v>
      </c>
      <c r="AA44" t="s">
        <v>73</v>
      </c>
      <c r="AB44" t="s">
        <v>57</v>
      </c>
      <c r="AC44" t="s">
        <v>58</v>
      </c>
      <c r="AD44" t="s">
        <v>60</v>
      </c>
    </row>
    <row r="45" spans="1:31" x14ac:dyDescent="0.25">
      <c r="A45">
        <v>2014</v>
      </c>
      <c r="B45" t="s">
        <v>37</v>
      </c>
      <c r="C45" t="s">
        <v>33</v>
      </c>
      <c r="D45" t="s">
        <v>34</v>
      </c>
      <c r="E45">
        <v>24</v>
      </c>
      <c r="F45" t="s">
        <v>38</v>
      </c>
      <c r="G45" t="s">
        <v>39</v>
      </c>
      <c r="H45" t="s">
        <v>41</v>
      </c>
      <c r="I45" t="s">
        <v>61</v>
      </c>
      <c r="J45" t="s">
        <v>42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49</v>
      </c>
      <c r="Q45" t="s">
        <v>50</v>
      </c>
      <c r="R45" t="s">
        <v>51</v>
      </c>
      <c r="S45" t="s">
        <v>63</v>
      </c>
      <c r="T45" t="s">
        <v>65</v>
      </c>
      <c r="U45" t="s">
        <v>53</v>
      </c>
      <c r="V45" t="s">
        <v>54</v>
      </c>
      <c r="W45" t="s">
        <v>82</v>
      </c>
      <c r="X45" t="s">
        <v>55</v>
      </c>
      <c r="Y45" t="s">
        <v>83</v>
      </c>
      <c r="Z45" t="s">
        <v>56</v>
      </c>
      <c r="AA45" t="s">
        <v>73</v>
      </c>
      <c r="AB45" t="s">
        <v>58</v>
      </c>
      <c r="AC45" t="s">
        <v>60</v>
      </c>
    </row>
    <row r="46" spans="1:31" x14ac:dyDescent="0.25">
      <c r="A46">
        <v>2015</v>
      </c>
      <c r="B46" t="s">
        <v>37</v>
      </c>
      <c r="C46" t="s">
        <v>33</v>
      </c>
      <c r="D46" t="s">
        <v>34</v>
      </c>
      <c r="E46">
        <v>26</v>
      </c>
      <c r="F46" t="s">
        <v>38</v>
      </c>
      <c r="G46" t="s">
        <v>39</v>
      </c>
      <c r="H46" t="s">
        <v>40</v>
      </c>
      <c r="I46" t="s">
        <v>41</v>
      </c>
      <c r="J46" t="s">
        <v>61</v>
      </c>
      <c r="K46" t="s">
        <v>42</v>
      </c>
      <c r="L46" t="s">
        <v>43</v>
      </c>
      <c r="M46" t="s">
        <v>44</v>
      </c>
      <c r="N46" t="s">
        <v>45</v>
      </c>
      <c r="O46" t="s">
        <v>76</v>
      </c>
      <c r="P46" t="s">
        <v>47</v>
      </c>
      <c r="Q46" t="s">
        <v>62</v>
      </c>
      <c r="R46" t="s">
        <v>49</v>
      </c>
      <c r="S46" t="s">
        <v>50</v>
      </c>
      <c r="T46" t="s">
        <v>51</v>
      </c>
      <c r="U46" t="s">
        <v>52</v>
      </c>
      <c r="V46" t="s">
        <v>66</v>
      </c>
      <c r="W46" t="s">
        <v>53</v>
      </c>
      <c r="X46" t="s">
        <v>54</v>
      </c>
      <c r="Y46" t="s">
        <v>55</v>
      </c>
      <c r="Z46" t="s">
        <v>83</v>
      </c>
      <c r="AA46" t="s">
        <v>56</v>
      </c>
      <c r="AB46" t="s">
        <v>73</v>
      </c>
      <c r="AC46" t="s">
        <v>57</v>
      </c>
      <c r="AD46" t="s">
        <v>58</v>
      </c>
      <c r="AE46" t="s">
        <v>60</v>
      </c>
    </row>
    <row r="47" spans="1:31" x14ac:dyDescent="0.25">
      <c r="A47">
        <v>2016</v>
      </c>
      <c r="B47" t="s">
        <v>37</v>
      </c>
      <c r="C47" t="s">
        <v>33</v>
      </c>
      <c r="D47" t="s">
        <v>34</v>
      </c>
      <c r="E47">
        <v>24</v>
      </c>
      <c r="F47" t="s">
        <v>38</v>
      </c>
      <c r="G47" t="s">
        <v>39</v>
      </c>
      <c r="H47" t="s">
        <v>40</v>
      </c>
      <c r="I47" t="s">
        <v>61</v>
      </c>
      <c r="J47" t="s">
        <v>42</v>
      </c>
      <c r="K47" t="s">
        <v>43</v>
      </c>
      <c r="L47" t="s">
        <v>44</v>
      </c>
      <c r="M47" t="s">
        <v>45</v>
      </c>
      <c r="N47" t="s">
        <v>47</v>
      </c>
      <c r="O47" t="s">
        <v>62</v>
      </c>
      <c r="P47" t="s">
        <v>49</v>
      </c>
      <c r="Q47" t="s">
        <v>50</v>
      </c>
      <c r="R47" t="s">
        <v>51</v>
      </c>
      <c r="S47" t="s">
        <v>52</v>
      </c>
      <c r="T47" t="s">
        <v>66</v>
      </c>
      <c r="U47" t="s">
        <v>53</v>
      </c>
      <c r="V47" t="s">
        <v>54</v>
      </c>
      <c r="W47" t="s">
        <v>55</v>
      </c>
      <c r="X47" t="s">
        <v>56</v>
      </c>
      <c r="Y47" t="s">
        <v>73</v>
      </c>
      <c r="Z47" t="s">
        <v>57</v>
      </c>
      <c r="AA47" t="s">
        <v>58</v>
      </c>
      <c r="AB47" t="s">
        <v>74</v>
      </c>
      <c r="AC47" t="s">
        <v>60</v>
      </c>
    </row>
    <row r="48" spans="1:31" x14ac:dyDescent="0.25">
      <c r="A48">
        <v>2017</v>
      </c>
      <c r="B48" t="s">
        <v>37</v>
      </c>
      <c r="C48" t="s">
        <v>33</v>
      </c>
      <c r="D48" t="s">
        <v>34</v>
      </c>
      <c r="E48">
        <v>24</v>
      </c>
      <c r="F48" t="s">
        <v>69</v>
      </c>
      <c r="G48" t="s">
        <v>39</v>
      </c>
      <c r="H48" t="s">
        <v>61</v>
      </c>
      <c r="I48" t="s">
        <v>43</v>
      </c>
      <c r="J48" t="s">
        <v>44</v>
      </c>
      <c r="K48" t="s">
        <v>70</v>
      </c>
      <c r="L48" t="s">
        <v>45</v>
      </c>
      <c r="M48" t="s">
        <v>76</v>
      </c>
      <c r="N48" t="s">
        <v>46</v>
      </c>
      <c r="O48" t="s">
        <v>47</v>
      </c>
      <c r="P48" t="s">
        <v>48</v>
      </c>
      <c r="Q48" t="s">
        <v>72</v>
      </c>
      <c r="R48" t="s">
        <v>49</v>
      </c>
      <c r="S48" t="s">
        <v>50</v>
      </c>
      <c r="T48" t="s">
        <v>51</v>
      </c>
      <c r="U48" t="s">
        <v>66</v>
      </c>
      <c r="V48" t="s">
        <v>53</v>
      </c>
      <c r="W48" t="s">
        <v>54</v>
      </c>
      <c r="X48" t="s">
        <v>56</v>
      </c>
      <c r="Y48" t="s">
        <v>73</v>
      </c>
      <c r="Z48" t="s">
        <v>57</v>
      </c>
      <c r="AA48" t="s">
        <v>58</v>
      </c>
      <c r="AB48" t="s">
        <v>74</v>
      </c>
      <c r="AC48" t="s">
        <v>60</v>
      </c>
    </row>
    <row r="49" spans="1:30" x14ac:dyDescent="0.25">
      <c r="A49">
        <v>2018</v>
      </c>
      <c r="B49" t="s">
        <v>37</v>
      </c>
      <c r="C49" t="s">
        <v>33</v>
      </c>
      <c r="D49" t="s">
        <v>34</v>
      </c>
      <c r="E49">
        <v>24</v>
      </c>
      <c r="F49" t="s">
        <v>69</v>
      </c>
      <c r="G49" t="s">
        <v>39</v>
      </c>
      <c r="H49" t="s">
        <v>40</v>
      </c>
      <c r="I49" t="s">
        <v>42</v>
      </c>
      <c r="J49" t="s">
        <v>44</v>
      </c>
      <c r="K49" t="s">
        <v>45</v>
      </c>
      <c r="L49" t="s">
        <v>47</v>
      </c>
      <c r="M49" t="s">
        <v>62</v>
      </c>
      <c r="N49" t="s">
        <v>84</v>
      </c>
      <c r="O49" t="s">
        <v>49</v>
      </c>
      <c r="P49" t="s">
        <v>50</v>
      </c>
      <c r="Q49" t="s">
        <v>51</v>
      </c>
      <c r="R49" t="s">
        <v>52</v>
      </c>
      <c r="S49" t="s">
        <v>66</v>
      </c>
      <c r="T49" t="s">
        <v>53</v>
      </c>
      <c r="U49" t="s">
        <v>54</v>
      </c>
      <c r="V49" t="s">
        <v>55</v>
      </c>
      <c r="W49" t="s">
        <v>83</v>
      </c>
      <c r="X49" t="s">
        <v>56</v>
      </c>
      <c r="Y49" t="s">
        <v>73</v>
      </c>
      <c r="Z49" t="s">
        <v>57</v>
      </c>
      <c r="AA49" t="s">
        <v>58</v>
      </c>
      <c r="AB49" t="s">
        <v>74</v>
      </c>
      <c r="AC49" t="s">
        <v>60</v>
      </c>
    </row>
    <row r="50" spans="1:30" x14ac:dyDescent="0.25">
      <c r="A50">
        <v>2019</v>
      </c>
      <c r="B50" t="s">
        <v>37</v>
      </c>
      <c r="C50" t="s">
        <v>33</v>
      </c>
      <c r="D50" t="s">
        <v>34</v>
      </c>
      <c r="E50">
        <v>24</v>
      </c>
      <c r="F50" t="s">
        <v>38</v>
      </c>
      <c r="G50" t="s">
        <v>39</v>
      </c>
      <c r="H50" t="s">
        <v>40</v>
      </c>
      <c r="I50" t="s">
        <v>61</v>
      </c>
      <c r="J50" t="s">
        <v>42</v>
      </c>
      <c r="K50" t="s">
        <v>44</v>
      </c>
      <c r="L50" t="s">
        <v>45</v>
      </c>
      <c r="M50" t="s">
        <v>91</v>
      </c>
      <c r="N50" t="s">
        <v>47</v>
      </c>
      <c r="O50" t="s">
        <v>48</v>
      </c>
      <c r="P50" t="s">
        <v>84</v>
      </c>
      <c r="Q50" t="s">
        <v>49</v>
      </c>
      <c r="R50" t="s">
        <v>51</v>
      </c>
      <c r="S50" t="s">
        <v>52</v>
      </c>
      <c r="T50" t="s">
        <v>66</v>
      </c>
      <c r="U50" t="s">
        <v>53</v>
      </c>
      <c r="V50" t="s">
        <v>54</v>
      </c>
      <c r="W50" t="s">
        <v>82</v>
      </c>
      <c r="X50" t="s">
        <v>55</v>
      </c>
      <c r="Y50" t="s">
        <v>56</v>
      </c>
      <c r="Z50" t="s">
        <v>73</v>
      </c>
      <c r="AA50" t="s">
        <v>57</v>
      </c>
      <c r="AB50" t="s">
        <v>58</v>
      </c>
      <c r="AC50" t="s">
        <v>60</v>
      </c>
    </row>
    <row r="51" spans="1:30" x14ac:dyDescent="0.25">
      <c r="A51">
        <v>2020</v>
      </c>
      <c r="B51" t="s">
        <v>37</v>
      </c>
      <c r="C51" t="s">
        <v>33</v>
      </c>
      <c r="D51" t="s">
        <v>34</v>
      </c>
      <c r="E51">
        <v>25</v>
      </c>
      <c r="F51" t="s">
        <v>38</v>
      </c>
      <c r="G51" t="s">
        <v>39</v>
      </c>
      <c r="H51" t="s">
        <v>40</v>
      </c>
      <c r="I51" t="s">
        <v>61</v>
      </c>
      <c r="J51" t="s">
        <v>42</v>
      </c>
      <c r="K51" t="s">
        <v>44</v>
      </c>
      <c r="L51" t="s">
        <v>45</v>
      </c>
      <c r="M51" t="s">
        <v>91</v>
      </c>
      <c r="N51" t="s">
        <v>47</v>
      </c>
      <c r="O51" t="s">
        <v>62</v>
      </c>
      <c r="P51" t="s">
        <v>49</v>
      </c>
      <c r="Q51" t="s">
        <v>51</v>
      </c>
      <c r="R51" t="s">
        <v>52</v>
      </c>
      <c r="S51" t="s">
        <v>66</v>
      </c>
      <c r="T51" t="s">
        <v>53</v>
      </c>
      <c r="U51" t="s">
        <v>67</v>
      </c>
      <c r="V51" t="s">
        <v>80</v>
      </c>
      <c r="W51" t="s">
        <v>54</v>
      </c>
      <c r="X51" t="s">
        <v>55</v>
      </c>
      <c r="Y51" t="s">
        <v>56</v>
      </c>
      <c r="Z51" t="s">
        <v>73</v>
      </c>
      <c r="AA51" t="s">
        <v>57</v>
      </c>
      <c r="AB51" t="s">
        <v>58</v>
      </c>
      <c r="AC51" t="s">
        <v>74</v>
      </c>
      <c r="AD51" t="s">
        <v>60</v>
      </c>
    </row>
    <row r="52" spans="1:30" x14ac:dyDescent="0.25">
      <c r="A52">
        <v>2011</v>
      </c>
      <c r="B52" t="s">
        <v>37</v>
      </c>
      <c r="C52" t="s">
        <v>33</v>
      </c>
      <c r="D52" t="s">
        <v>35</v>
      </c>
      <c r="E52">
        <v>7</v>
      </c>
      <c r="F52" t="s">
        <v>61</v>
      </c>
      <c r="G52" t="s">
        <v>90</v>
      </c>
      <c r="H52" t="s">
        <v>78</v>
      </c>
      <c r="I52" t="s">
        <v>91</v>
      </c>
      <c r="J52" t="s">
        <v>68</v>
      </c>
      <c r="K52" t="s">
        <v>59</v>
      </c>
      <c r="L52" t="s">
        <v>74</v>
      </c>
    </row>
    <row r="53" spans="1:30" x14ac:dyDescent="0.25">
      <c r="A53">
        <v>2012</v>
      </c>
      <c r="B53" t="s">
        <v>37</v>
      </c>
      <c r="C53" t="s">
        <v>33</v>
      </c>
      <c r="D53" t="s">
        <v>35</v>
      </c>
      <c r="E53">
        <v>6</v>
      </c>
      <c r="F53" t="s">
        <v>40</v>
      </c>
      <c r="G53" t="s">
        <v>42</v>
      </c>
      <c r="H53" t="s">
        <v>92</v>
      </c>
      <c r="I53" t="s">
        <v>66</v>
      </c>
      <c r="J53" t="s">
        <v>68</v>
      </c>
      <c r="K53" t="s">
        <v>57</v>
      </c>
    </row>
    <row r="54" spans="1:30" x14ac:dyDescent="0.25">
      <c r="A54">
        <v>2013</v>
      </c>
      <c r="B54" t="s">
        <v>37</v>
      </c>
      <c r="C54" t="s">
        <v>33</v>
      </c>
      <c r="D54" t="s">
        <v>35</v>
      </c>
      <c r="E54">
        <v>4</v>
      </c>
      <c r="F54" t="s">
        <v>78</v>
      </c>
      <c r="G54" t="s">
        <v>68</v>
      </c>
      <c r="H54" t="s">
        <v>80</v>
      </c>
      <c r="I54" t="s">
        <v>74</v>
      </c>
    </row>
    <row r="55" spans="1:30" x14ac:dyDescent="0.25">
      <c r="A55">
        <v>2014</v>
      </c>
      <c r="B55" t="s">
        <v>37</v>
      </c>
      <c r="C55" t="s">
        <v>33</v>
      </c>
      <c r="D55" t="s">
        <v>35</v>
      </c>
      <c r="E55">
        <v>6</v>
      </c>
      <c r="F55" t="s">
        <v>40</v>
      </c>
      <c r="G55" t="s">
        <v>90</v>
      </c>
      <c r="H55" t="s">
        <v>91</v>
      </c>
      <c r="I55" t="s">
        <v>52</v>
      </c>
      <c r="J55" t="s">
        <v>66</v>
      </c>
      <c r="K55" t="s">
        <v>68</v>
      </c>
    </row>
    <row r="56" spans="1:30" x14ac:dyDescent="0.25">
      <c r="A56">
        <v>2015</v>
      </c>
      <c r="B56" t="s">
        <v>37</v>
      </c>
      <c r="C56" t="s">
        <v>33</v>
      </c>
      <c r="D56" t="s">
        <v>35</v>
      </c>
      <c r="E56">
        <v>4</v>
      </c>
      <c r="F56" t="s">
        <v>65</v>
      </c>
      <c r="G56" t="s">
        <v>79</v>
      </c>
      <c r="H56" t="s">
        <v>68</v>
      </c>
      <c r="I56" t="s">
        <v>74</v>
      </c>
    </row>
    <row r="57" spans="1:30" x14ac:dyDescent="0.25">
      <c r="A57">
        <v>2016</v>
      </c>
      <c r="B57" t="s">
        <v>37</v>
      </c>
      <c r="C57" t="s">
        <v>33</v>
      </c>
      <c r="D57" t="s">
        <v>35</v>
      </c>
      <c r="E57">
        <v>4</v>
      </c>
      <c r="F57" t="s">
        <v>65</v>
      </c>
      <c r="G57" t="s">
        <v>68</v>
      </c>
      <c r="H57" t="s">
        <v>80</v>
      </c>
      <c r="I57" t="s">
        <v>59</v>
      </c>
    </row>
    <row r="58" spans="1:30" x14ac:dyDescent="0.25">
      <c r="A58">
        <v>2017</v>
      </c>
      <c r="B58" t="s">
        <v>37</v>
      </c>
      <c r="C58" t="s">
        <v>33</v>
      </c>
      <c r="D58" t="s">
        <v>35</v>
      </c>
      <c r="E58">
        <v>5</v>
      </c>
      <c r="F58" t="s">
        <v>42</v>
      </c>
      <c r="G58" t="s">
        <v>62</v>
      </c>
      <c r="H58" t="s">
        <v>52</v>
      </c>
      <c r="I58" t="s">
        <v>79</v>
      </c>
      <c r="J58" t="s">
        <v>68</v>
      </c>
    </row>
    <row r="59" spans="1:30" x14ac:dyDescent="0.25">
      <c r="A59">
        <v>2018</v>
      </c>
      <c r="B59" t="s">
        <v>37</v>
      </c>
      <c r="C59" t="s">
        <v>33</v>
      </c>
      <c r="D59" t="s">
        <v>35</v>
      </c>
      <c r="E59">
        <v>6</v>
      </c>
      <c r="F59" t="s">
        <v>77</v>
      </c>
      <c r="G59" t="s">
        <v>78</v>
      </c>
      <c r="H59" t="s">
        <v>65</v>
      </c>
      <c r="I59" t="s">
        <v>79</v>
      </c>
      <c r="J59" t="s">
        <v>68</v>
      </c>
      <c r="K59" t="s">
        <v>80</v>
      </c>
    </row>
    <row r="60" spans="1:30" x14ac:dyDescent="0.25">
      <c r="A60">
        <v>2019</v>
      </c>
      <c r="B60" t="s">
        <v>37</v>
      </c>
      <c r="C60" t="s">
        <v>33</v>
      </c>
      <c r="D60" t="s">
        <v>35</v>
      </c>
      <c r="E60">
        <v>4</v>
      </c>
      <c r="F60" t="s">
        <v>78</v>
      </c>
      <c r="G60" t="s">
        <v>62</v>
      </c>
      <c r="H60" t="s">
        <v>65</v>
      </c>
      <c r="I60" t="s">
        <v>68</v>
      </c>
    </row>
    <row r="61" spans="1:30" x14ac:dyDescent="0.25">
      <c r="A61">
        <v>2020</v>
      </c>
      <c r="B61" t="s">
        <v>37</v>
      </c>
      <c r="C61" t="s">
        <v>33</v>
      </c>
      <c r="D61" t="s">
        <v>35</v>
      </c>
      <c r="E61">
        <v>4</v>
      </c>
      <c r="F61" t="s">
        <v>90</v>
      </c>
      <c r="G61" t="s">
        <v>78</v>
      </c>
      <c r="H61" t="s">
        <v>65</v>
      </c>
      <c r="I61" t="s">
        <v>68</v>
      </c>
    </row>
  </sheetData>
  <sortState xmlns:xlrd2="http://schemas.microsoft.com/office/spreadsheetml/2017/richdata2" ref="A43:AF61">
    <sortCondition ref="D43:D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E85B-868A-4111-8577-5A66D24525B7}">
  <dimension ref="A3:Q14"/>
  <sheetViews>
    <sheetView tabSelected="1" workbookViewId="0">
      <selection activeCell="Q14" activeCellId="8" sqref="Q3 Q7 Q8 Q9 Q10 Q11 Q12 Q13 Q14"/>
    </sheetView>
  </sheetViews>
  <sheetFormatPr defaultRowHeight="15" x14ac:dyDescent="0.25"/>
  <cols>
    <col min="1" max="1" width="19.140625" bestFit="1" customWidth="1"/>
    <col min="2" max="2" width="16.28515625" bestFit="1" customWidth="1"/>
    <col min="3" max="7" width="3" bestFit="1" customWidth="1"/>
    <col min="8" max="13" width="2" bestFit="1" customWidth="1"/>
    <col min="14" max="14" width="11.28515625" bestFit="1" customWidth="1"/>
  </cols>
  <sheetData>
    <row r="3" spans="1:17" x14ac:dyDescent="0.25">
      <c r="A3" s="2" t="s">
        <v>155</v>
      </c>
      <c r="B3" s="2" t="s">
        <v>156</v>
      </c>
      <c r="P3">
        <v>1</v>
      </c>
      <c r="Q3">
        <v>3</v>
      </c>
    </row>
    <row r="4" spans="1:17" x14ac:dyDescent="0.25">
      <c r="A4" s="2" t="s">
        <v>153</v>
      </c>
      <c r="B4" t="s">
        <v>149</v>
      </c>
      <c r="C4" t="s">
        <v>140</v>
      </c>
      <c r="D4" t="s">
        <v>142</v>
      </c>
      <c r="E4" t="s">
        <v>144</v>
      </c>
      <c r="F4" t="s">
        <v>148</v>
      </c>
      <c r="G4" t="s">
        <v>143</v>
      </c>
      <c r="H4" t="s">
        <v>147</v>
      </c>
      <c r="I4" t="s">
        <v>150</v>
      </c>
      <c r="J4" t="s">
        <v>151</v>
      </c>
      <c r="K4" t="s">
        <v>135</v>
      </c>
      <c r="L4" t="s">
        <v>137</v>
      </c>
      <c r="M4" t="s">
        <v>139</v>
      </c>
      <c r="N4" t="s">
        <v>154</v>
      </c>
      <c r="P4">
        <v>2</v>
      </c>
      <c r="Q4">
        <v>7</v>
      </c>
    </row>
    <row r="5" spans="1:17" x14ac:dyDescent="0.25">
      <c r="A5" s="3" t="s">
        <v>146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12</v>
      </c>
      <c r="P5">
        <v>3</v>
      </c>
      <c r="Q5">
        <v>5</v>
      </c>
    </row>
    <row r="6" spans="1:17" x14ac:dyDescent="0.25">
      <c r="A6" s="3" t="s">
        <v>152</v>
      </c>
      <c r="B6" s="1"/>
      <c r="C6" s="1">
        <v>1</v>
      </c>
      <c r="D6" s="1"/>
      <c r="E6" s="1">
        <v>1</v>
      </c>
      <c r="F6" s="1"/>
      <c r="G6" s="1">
        <v>1</v>
      </c>
      <c r="H6" s="1"/>
      <c r="I6" s="1"/>
      <c r="J6" s="1"/>
      <c r="K6" s="1">
        <v>1</v>
      </c>
      <c r="L6" s="1"/>
      <c r="M6" s="1">
        <v>1</v>
      </c>
      <c r="N6" s="1">
        <v>5</v>
      </c>
      <c r="P6">
        <v>4</v>
      </c>
      <c r="Q6">
        <v>5</v>
      </c>
    </row>
    <row r="7" spans="1:17" x14ac:dyDescent="0.25">
      <c r="A7" s="3" t="s">
        <v>145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12</v>
      </c>
      <c r="P7">
        <v>5</v>
      </c>
      <c r="Q7">
        <v>13</v>
      </c>
    </row>
    <row r="8" spans="1:17" x14ac:dyDescent="0.25">
      <c r="A8" s="3" t="s">
        <v>134</v>
      </c>
      <c r="B8" s="1"/>
      <c r="C8" s="1">
        <v>1</v>
      </c>
      <c r="D8" s="1">
        <v>1</v>
      </c>
      <c r="E8" s="1">
        <v>1</v>
      </c>
      <c r="F8" s="1">
        <v>1</v>
      </c>
      <c r="G8" s="1">
        <v>1</v>
      </c>
      <c r="H8" s="1"/>
      <c r="I8" s="1"/>
      <c r="J8" s="1"/>
      <c r="K8" s="1">
        <v>1</v>
      </c>
      <c r="L8" s="1"/>
      <c r="M8" s="1">
        <v>1</v>
      </c>
      <c r="N8" s="1">
        <v>7</v>
      </c>
      <c r="P8">
        <v>7</v>
      </c>
      <c r="Q8">
        <v>3</v>
      </c>
    </row>
    <row r="9" spans="1:17" x14ac:dyDescent="0.25">
      <c r="A9" s="3" t="s">
        <v>138</v>
      </c>
      <c r="B9" s="1"/>
      <c r="C9" s="1">
        <v>1</v>
      </c>
      <c r="D9" s="1">
        <v>1</v>
      </c>
      <c r="E9" s="1">
        <v>1</v>
      </c>
      <c r="F9" s="1"/>
      <c r="G9" s="1"/>
      <c r="H9" s="1"/>
      <c r="I9" s="1"/>
      <c r="J9" s="1"/>
      <c r="K9" s="1">
        <v>1</v>
      </c>
      <c r="L9" s="1"/>
      <c r="M9" s="1">
        <v>1</v>
      </c>
      <c r="N9" s="1">
        <v>5</v>
      </c>
      <c r="P9">
        <v>8</v>
      </c>
      <c r="Q9">
        <v>9</v>
      </c>
    </row>
    <row r="10" spans="1:17" x14ac:dyDescent="0.25">
      <c r="A10" s="3" t="s">
        <v>141</v>
      </c>
      <c r="B10" s="1"/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/>
      <c r="I10" s="1"/>
      <c r="J10" s="1"/>
      <c r="K10" s="1"/>
      <c r="L10" s="1"/>
      <c r="M10" s="1"/>
      <c r="N10" s="1">
        <v>5</v>
      </c>
      <c r="P10">
        <v>10</v>
      </c>
      <c r="Q10">
        <v>19</v>
      </c>
    </row>
    <row r="11" spans="1:17" x14ac:dyDescent="0.25">
      <c r="A11" s="3" t="s">
        <v>136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/>
      <c r="I11" s="1"/>
      <c r="J11" s="1"/>
      <c r="K11" s="1">
        <v>1</v>
      </c>
      <c r="L11" s="1">
        <v>1</v>
      </c>
      <c r="M11" s="1">
        <v>1</v>
      </c>
      <c r="N11" s="1">
        <v>9</v>
      </c>
      <c r="P11">
        <v>12</v>
      </c>
      <c r="Q11">
        <v>3</v>
      </c>
    </row>
    <row r="12" spans="1:17" x14ac:dyDescent="0.25">
      <c r="A12" s="3" t="s">
        <v>154</v>
      </c>
      <c r="B12" s="1">
        <v>3</v>
      </c>
      <c r="C12" s="1">
        <v>7</v>
      </c>
      <c r="D12" s="1">
        <v>6</v>
      </c>
      <c r="E12" s="1">
        <v>7</v>
      </c>
      <c r="F12" s="1">
        <v>5</v>
      </c>
      <c r="G12" s="1">
        <v>6</v>
      </c>
      <c r="H12" s="1">
        <v>2</v>
      </c>
      <c r="I12" s="1">
        <v>2</v>
      </c>
      <c r="J12" s="1">
        <v>2</v>
      </c>
      <c r="K12" s="1">
        <v>6</v>
      </c>
      <c r="L12" s="1">
        <v>3</v>
      </c>
      <c r="M12" s="1">
        <v>6</v>
      </c>
      <c r="N12" s="1">
        <v>55</v>
      </c>
      <c r="P12">
        <v>13</v>
      </c>
      <c r="Q12">
        <v>19</v>
      </c>
    </row>
    <row r="13" spans="1:17" x14ac:dyDescent="0.25">
      <c r="P13">
        <v>14</v>
      </c>
      <c r="Q13">
        <v>1</v>
      </c>
    </row>
    <row r="14" spans="1:17" x14ac:dyDescent="0.25">
      <c r="P14">
        <v>17</v>
      </c>
      <c r="Q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1679-6C90-4766-86B1-A1DD74240623}">
  <dimension ref="A1:D56"/>
  <sheetViews>
    <sheetView topLeftCell="A2" workbookViewId="0"/>
  </sheetViews>
  <sheetFormatPr defaultRowHeight="15" x14ac:dyDescent="0.25"/>
  <cols>
    <col min="1" max="1" width="11.42578125" bestFit="1" customWidth="1"/>
    <col min="2" max="2" width="20.7109375" bestFit="1" customWidth="1"/>
    <col min="3" max="3" width="11" bestFit="1" customWidth="1"/>
    <col min="4" max="4" width="13.140625" bestFit="1" customWidth="1"/>
  </cols>
  <sheetData>
    <row r="1" spans="1:4" x14ac:dyDescent="0.25">
      <c r="A1" t="s">
        <v>130</v>
      </c>
      <c r="B1" t="s">
        <v>131</v>
      </c>
      <c r="C1" t="s">
        <v>132</v>
      </c>
      <c r="D1" t="s">
        <v>133</v>
      </c>
    </row>
    <row r="2" spans="1:4" x14ac:dyDescent="0.25">
      <c r="A2" s="1" t="s">
        <v>103</v>
      </c>
      <c r="B2" s="1" t="s">
        <v>38</v>
      </c>
      <c r="C2" t="s">
        <v>134</v>
      </c>
      <c r="D2" t="s">
        <v>135</v>
      </c>
    </row>
    <row r="3" spans="1:4" x14ac:dyDescent="0.25">
      <c r="A3" s="1" t="s">
        <v>104</v>
      </c>
      <c r="B3" s="1" t="s">
        <v>39</v>
      </c>
      <c r="C3" t="s">
        <v>136</v>
      </c>
      <c r="D3" t="s">
        <v>135</v>
      </c>
    </row>
    <row r="4" spans="1:4" x14ac:dyDescent="0.25">
      <c r="A4" s="1" t="s">
        <v>105</v>
      </c>
      <c r="B4" s="1" t="s">
        <v>40</v>
      </c>
      <c r="C4" t="s">
        <v>136</v>
      </c>
      <c r="D4" t="s">
        <v>137</v>
      </c>
    </row>
    <row r="5" spans="1:4" x14ac:dyDescent="0.25">
      <c r="A5" s="1" t="s">
        <v>106</v>
      </c>
      <c r="B5" s="1" t="s">
        <v>41</v>
      </c>
      <c r="C5" t="s">
        <v>138</v>
      </c>
      <c r="D5" t="s">
        <v>139</v>
      </c>
    </row>
    <row r="6" spans="1:4" x14ac:dyDescent="0.25">
      <c r="A6" s="1" t="s">
        <v>107</v>
      </c>
      <c r="B6" s="1" t="s">
        <v>42</v>
      </c>
      <c r="C6" t="s">
        <v>136</v>
      </c>
      <c r="D6" t="s">
        <v>139</v>
      </c>
    </row>
    <row r="7" spans="1:4" x14ac:dyDescent="0.25">
      <c r="A7" s="1" t="s">
        <v>108</v>
      </c>
      <c r="B7" s="1" t="s">
        <v>43</v>
      </c>
      <c r="C7" t="s">
        <v>138</v>
      </c>
      <c r="D7" t="s">
        <v>140</v>
      </c>
    </row>
    <row r="8" spans="1:4" x14ac:dyDescent="0.25">
      <c r="A8" s="1" t="s">
        <v>109</v>
      </c>
      <c r="B8" s="1" t="s">
        <v>44</v>
      </c>
      <c r="C8" t="s">
        <v>134</v>
      </c>
      <c r="D8" t="s">
        <v>140</v>
      </c>
    </row>
    <row r="9" spans="1:4" x14ac:dyDescent="0.25">
      <c r="A9" s="1" t="s">
        <v>110</v>
      </c>
      <c r="B9" s="1" t="s">
        <v>45</v>
      </c>
      <c r="C9" t="s">
        <v>136</v>
      </c>
      <c r="D9" t="s">
        <v>140</v>
      </c>
    </row>
    <row r="10" spans="1:4" x14ac:dyDescent="0.25">
      <c r="A10" s="1" t="s">
        <v>111</v>
      </c>
      <c r="B10" s="1" t="s">
        <v>46</v>
      </c>
      <c r="C10" t="s">
        <v>141</v>
      </c>
      <c r="D10" t="s">
        <v>142</v>
      </c>
    </row>
    <row r="11" spans="1:4" x14ac:dyDescent="0.25">
      <c r="A11" s="1" t="s">
        <v>112</v>
      </c>
      <c r="B11" s="1" t="s">
        <v>47</v>
      </c>
      <c r="C11" t="s">
        <v>136</v>
      </c>
      <c r="D11" t="s">
        <v>142</v>
      </c>
    </row>
    <row r="12" spans="1:4" x14ac:dyDescent="0.25">
      <c r="A12" s="1" t="s">
        <v>113</v>
      </c>
      <c r="B12" s="1" t="s">
        <v>48</v>
      </c>
      <c r="C12" t="s">
        <v>134</v>
      </c>
      <c r="D12" t="s">
        <v>143</v>
      </c>
    </row>
    <row r="13" spans="1:4" x14ac:dyDescent="0.25">
      <c r="A13" s="1" t="s">
        <v>114</v>
      </c>
      <c r="B13" s="1" t="s">
        <v>49</v>
      </c>
      <c r="C13" t="s">
        <v>134</v>
      </c>
      <c r="D13" t="s">
        <v>144</v>
      </c>
    </row>
    <row r="14" spans="1:4" x14ac:dyDescent="0.25">
      <c r="A14" s="1" t="s">
        <v>115</v>
      </c>
      <c r="B14" s="1" t="s">
        <v>50</v>
      </c>
      <c r="C14" t="s">
        <v>141</v>
      </c>
      <c r="D14" t="s">
        <v>144</v>
      </c>
    </row>
    <row r="15" spans="1:4" x14ac:dyDescent="0.25">
      <c r="A15" s="1" t="s">
        <v>116</v>
      </c>
      <c r="B15" s="1" t="s">
        <v>51</v>
      </c>
      <c r="C15" t="s">
        <v>136</v>
      </c>
      <c r="D15" t="s">
        <v>144</v>
      </c>
    </row>
    <row r="16" spans="1:4" x14ac:dyDescent="0.25">
      <c r="A16" s="1" t="s">
        <v>117</v>
      </c>
      <c r="B16" s="1" t="s">
        <v>52</v>
      </c>
      <c r="C16" t="s">
        <v>145</v>
      </c>
      <c r="D16" t="s">
        <v>135</v>
      </c>
    </row>
    <row r="17" spans="1:4" x14ac:dyDescent="0.25">
      <c r="A17" s="1" t="s">
        <v>118</v>
      </c>
      <c r="B17" s="1" t="s">
        <v>53</v>
      </c>
      <c r="C17" t="s">
        <v>145</v>
      </c>
      <c r="D17" t="s">
        <v>140</v>
      </c>
    </row>
    <row r="18" spans="1:4" x14ac:dyDescent="0.25">
      <c r="A18" s="1" t="s">
        <v>119</v>
      </c>
      <c r="B18" s="1" t="s">
        <v>54</v>
      </c>
      <c r="C18" t="s">
        <v>145</v>
      </c>
      <c r="D18" t="s">
        <v>144</v>
      </c>
    </row>
    <row r="19" spans="1:4" x14ac:dyDescent="0.25">
      <c r="A19" s="1" t="s">
        <v>120</v>
      </c>
      <c r="B19" s="1" t="s">
        <v>55</v>
      </c>
      <c r="C19" t="s">
        <v>146</v>
      </c>
      <c r="D19" t="s">
        <v>147</v>
      </c>
    </row>
    <row r="20" spans="1:4" x14ac:dyDescent="0.25">
      <c r="A20" s="1" t="s">
        <v>121</v>
      </c>
      <c r="B20" s="1" t="s">
        <v>56</v>
      </c>
      <c r="C20" t="s">
        <v>146</v>
      </c>
      <c r="D20" t="s">
        <v>135</v>
      </c>
    </row>
    <row r="21" spans="1:4" x14ac:dyDescent="0.25">
      <c r="A21" s="1" t="s">
        <v>122</v>
      </c>
      <c r="B21" s="1" t="s">
        <v>57</v>
      </c>
      <c r="C21" t="s">
        <v>146</v>
      </c>
      <c r="D21" t="s">
        <v>139</v>
      </c>
    </row>
    <row r="22" spans="1:4" x14ac:dyDescent="0.25">
      <c r="A22" s="1" t="s">
        <v>123</v>
      </c>
      <c r="B22" s="1" t="s">
        <v>58</v>
      </c>
      <c r="C22" t="s">
        <v>146</v>
      </c>
      <c r="D22" t="s">
        <v>140</v>
      </c>
    </row>
    <row r="23" spans="1:4" x14ac:dyDescent="0.25">
      <c r="A23" s="1" t="s">
        <v>124</v>
      </c>
      <c r="B23" s="1" t="s">
        <v>59</v>
      </c>
      <c r="C23" t="s">
        <v>146</v>
      </c>
      <c r="D23" t="s">
        <v>142</v>
      </c>
    </row>
    <row r="24" spans="1:4" x14ac:dyDescent="0.25">
      <c r="A24" s="1" t="s">
        <v>125</v>
      </c>
      <c r="B24" s="1" t="s">
        <v>60</v>
      </c>
      <c r="C24" t="s">
        <v>146</v>
      </c>
      <c r="D24" t="s">
        <v>144</v>
      </c>
    </row>
    <row r="25" spans="1:4" x14ac:dyDescent="0.25">
      <c r="A25" s="1" t="s">
        <v>103</v>
      </c>
      <c r="B25" s="1" t="s">
        <v>69</v>
      </c>
      <c r="C25" t="s">
        <v>138</v>
      </c>
      <c r="D25" t="s">
        <v>135</v>
      </c>
    </row>
    <row r="26" spans="1:4" x14ac:dyDescent="0.25">
      <c r="A26" s="1" t="s">
        <v>109</v>
      </c>
      <c r="B26" s="1" t="s">
        <v>70</v>
      </c>
      <c r="C26" t="s">
        <v>141</v>
      </c>
      <c r="D26" t="s">
        <v>140</v>
      </c>
    </row>
    <row r="27" spans="1:4" x14ac:dyDescent="0.25">
      <c r="A27" s="1" t="s">
        <v>111</v>
      </c>
      <c r="B27" s="1" t="s">
        <v>71</v>
      </c>
      <c r="C27" t="s">
        <v>141</v>
      </c>
      <c r="D27" t="s">
        <v>148</v>
      </c>
    </row>
    <row r="28" spans="1:4" x14ac:dyDescent="0.25">
      <c r="A28" s="1" t="s">
        <v>114</v>
      </c>
      <c r="B28" s="1" t="s">
        <v>72</v>
      </c>
      <c r="C28" t="s">
        <v>141</v>
      </c>
      <c r="D28" t="s">
        <v>143</v>
      </c>
    </row>
    <row r="29" spans="1:4" x14ac:dyDescent="0.25">
      <c r="A29" s="1" t="s">
        <v>115</v>
      </c>
      <c r="B29" s="1" t="s">
        <v>62</v>
      </c>
      <c r="C29" t="s">
        <v>136</v>
      </c>
      <c r="D29" t="s">
        <v>143</v>
      </c>
    </row>
    <row r="30" spans="1:4" x14ac:dyDescent="0.25">
      <c r="A30" s="1" t="s">
        <v>118</v>
      </c>
      <c r="B30" s="1" t="s">
        <v>65</v>
      </c>
      <c r="C30" t="s">
        <v>145</v>
      </c>
      <c r="D30" t="s">
        <v>147</v>
      </c>
    </row>
    <row r="31" spans="1:4" x14ac:dyDescent="0.25">
      <c r="A31" s="1" t="s">
        <v>124</v>
      </c>
      <c r="B31" s="1" t="s">
        <v>73</v>
      </c>
      <c r="C31" t="s">
        <v>146</v>
      </c>
      <c r="D31" t="s">
        <v>137</v>
      </c>
    </row>
    <row r="32" spans="1:4" x14ac:dyDescent="0.25">
      <c r="A32" s="1" t="s">
        <v>127</v>
      </c>
      <c r="B32" s="1" t="s">
        <v>74</v>
      </c>
      <c r="C32" t="s">
        <v>146</v>
      </c>
      <c r="D32" t="s">
        <v>143</v>
      </c>
    </row>
    <row r="33" spans="1:4" x14ac:dyDescent="0.25">
      <c r="A33" s="1" t="s">
        <v>111</v>
      </c>
      <c r="B33" s="1" t="s">
        <v>76</v>
      </c>
      <c r="C33" t="s">
        <v>138</v>
      </c>
      <c r="D33" t="s">
        <v>142</v>
      </c>
    </row>
    <row r="34" spans="1:4" x14ac:dyDescent="0.25">
      <c r="A34" s="1" t="s">
        <v>120</v>
      </c>
      <c r="B34" s="1" t="s">
        <v>66</v>
      </c>
      <c r="C34" t="s">
        <v>145</v>
      </c>
      <c r="D34" t="s">
        <v>139</v>
      </c>
    </row>
    <row r="35" spans="1:4" x14ac:dyDescent="0.25">
      <c r="A35" s="1" t="s">
        <v>111</v>
      </c>
      <c r="B35" s="1" t="s">
        <v>63</v>
      </c>
      <c r="C35" t="s">
        <v>145</v>
      </c>
      <c r="D35" t="s">
        <v>149</v>
      </c>
    </row>
    <row r="36" spans="1:4" x14ac:dyDescent="0.25">
      <c r="A36" s="1" t="s">
        <v>116</v>
      </c>
      <c r="B36" s="1" t="s">
        <v>81</v>
      </c>
      <c r="C36" t="s">
        <v>146</v>
      </c>
      <c r="D36" t="s">
        <v>149</v>
      </c>
    </row>
    <row r="37" spans="1:4" x14ac:dyDescent="0.25">
      <c r="A37" s="1" t="s">
        <v>117</v>
      </c>
      <c r="B37" s="1" t="s">
        <v>82</v>
      </c>
      <c r="C37" t="s">
        <v>146</v>
      </c>
      <c r="D37" t="s">
        <v>150</v>
      </c>
    </row>
    <row r="38" spans="1:4" x14ac:dyDescent="0.25">
      <c r="A38" s="1" t="s">
        <v>119</v>
      </c>
      <c r="B38" s="1" t="s">
        <v>83</v>
      </c>
      <c r="C38" t="s">
        <v>146</v>
      </c>
      <c r="D38" t="s">
        <v>151</v>
      </c>
    </row>
    <row r="39" spans="1:4" x14ac:dyDescent="0.25">
      <c r="A39" s="1" t="s">
        <v>119</v>
      </c>
      <c r="B39" s="1" t="s">
        <v>79</v>
      </c>
      <c r="C39" t="s">
        <v>145</v>
      </c>
      <c r="D39" t="s">
        <v>137</v>
      </c>
    </row>
    <row r="40" spans="1:4" x14ac:dyDescent="0.25">
      <c r="A40" s="1" t="s">
        <v>120</v>
      </c>
      <c r="B40" s="1" t="s">
        <v>68</v>
      </c>
      <c r="C40" t="s">
        <v>145</v>
      </c>
      <c r="D40" t="s">
        <v>142</v>
      </c>
    </row>
    <row r="41" spans="1:4" x14ac:dyDescent="0.25">
      <c r="A41" s="1" t="s">
        <v>115</v>
      </c>
      <c r="B41" s="1" t="s">
        <v>84</v>
      </c>
      <c r="C41" t="s">
        <v>138</v>
      </c>
      <c r="D41" t="s">
        <v>144</v>
      </c>
    </row>
    <row r="42" spans="1:4" x14ac:dyDescent="0.25">
      <c r="A42" s="1" t="s">
        <v>107</v>
      </c>
      <c r="B42" s="1" t="s">
        <v>61</v>
      </c>
      <c r="C42" t="s">
        <v>134</v>
      </c>
      <c r="D42" t="s">
        <v>139</v>
      </c>
    </row>
    <row r="43" spans="1:4" x14ac:dyDescent="0.25">
      <c r="A43" s="1" t="s">
        <v>106</v>
      </c>
      <c r="B43" s="1" t="s">
        <v>64</v>
      </c>
      <c r="C43" t="s">
        <v>145</v>
      </c>
      <c r="D43" t="s">
        <v>150</v>
      </c>
    </row>
    <row r="44" spans="1:4" x14ac:dyDescent="0.25">
      <c r="A44" s="1" t="s">
        <v>109</v>
      </c>
      <c r="B44" s="1" t="s">
        <v>67</v>
      </c>
      <c r="C44" t="s">
        <v>152</v>
      </c>
      <c r="D44" t="s">
        <v>140</v>
      </c>
    </row>
    <row r="45" spans="1:4" x14ac:dyDescent="0.25">
      <c r="A45" s="1" t="s">
        <v>105</v>
      </c>
      <c r="B45" s="1" t="s">
        <v>75</v>
      </c>
      <c r="C45" t="s">
        <v>145</v>
      </c>
      <c r="D45" t="s">
        <v>151</v>
      </c>
    </row>
    <row r="46" spans="1:4" x14ac:dyDescent="0.25">
      <c r="A46" s="1" t="s">
        <v>103</v>
      </c>
      <c r="B46" s="1" t="s">
        <v>77</v>
      </c>
      <c r="C46" t="s">
        <v>136</v>
      </c>
      <c r="D46" t="s">
        <v>149</v>
      </c>
    </row>
    <row r="47" spans="1:4" x14ac:dyDescent="0.25">
      <c r="A47" s="1" t="s">
        <v>104</v>
      </c>
      <c r="B47" s="1" t="s">
        <v>78</v>
      </c>
      <c r="C47" t="s">
        <v>136</v>
      </c>
      <c r="D47" t="s">
        <v>148</v>
      </c>
    </row>
    <row r="48" spans="1:4" x14ac:dyDescent="0.25">
      <c r="A48" s="1" t="s">
        <v>109</v>
      </c>
      <c r="B48" s="1" t="s">
        <v>80</v>
      </c>
      <c r="C48" t="s">
        <v>145</v>
      </c>
      <c r="D48" t="s">
        <v>143</v>
      </c>
    </row>
    <row r="49" spans="1:4" x14ac:dyDescent="0.25">
      <c r="A49" s="1" t="s">
        <v>120</v>
      </c>
      <c r="B49" s="1" t="s">
        <v>85</v>
      </c>
      <c r="C49" t="s">
        <v>152</v>
      </c>
      <c r="D49" t="s">
        <v>144</v>
      </c>
    </row>
    <row r="50" spans="1:4" x14ac:dyDescent="0.25">
      <c r="A50" s="1" t="s">
        <v>126</v>
      </c>
      <c r="B50" s="1" t="s">
        <v>86</v>
      </c>
      <c r="C50" t="s">
        <v>146</v>
      </c>
      <c r="D50" t="s">
        <v>148</v>
      </c>
    </row>
    <row r="51" spans="1:4" x14ac:dyDescent="0.25">
      <c r="A51" s="1" t="s">
        <v>111</v>
      </c>
      <c r="B51" s="1" t="s">
        <v>88</v>
      </c>
      <c r="C51" t="s">
        <v>152</v>
      </c>
      <c r="D51" t="s">
        <v>139</v>
      </c>
    </row>
    <row r="52" spans="1:4" x14ac:dyDescent="0.25">
      <c r="A52" s="1" t="s">
        <v>114</v>
      </c>
      <c r="B52" s="1" t="s">
        <v>87</v>
      </c>
      <c r="C52" t="s">
        <v>145</v>
      </c>
      <c r="D52" t="s">
        <v>148</v>
      </c>
    </row>
    <row r="53" spans="1:4" x14ac:dyDescent="0.25">
      <c r="A53" s="1" t="s">
        <v>116</v>
      </c>
      <c r="B53" s="1" t="s">
        <v>89</v>
      </c>
      <c r="C53" t="s">
        <v>152</v>
      </c>
      <c r="D53" t="s">
        <v>143</v>
      </c>
    </row>
    <row r="54" spans="1:4" x14ac:dyDescent="0.25">
      <c r="A54" s="1" t="s">
        <v>110</v>
      </c>
      <c r="B54" s="1" t="s">
        <v>90</v>
      </c>
      <c r="C54" t="s">
        <v>134</v>
      </c>
      <c r="D54" t="s">
        <v>148</v>
      </c>
    </row>
    <row r="55" spans="1:4" x14ac:dyDescent="0.25">
      <c r="A55" s="1" t="s">
        <v>111</v>
      </c>
      <c r="B55" s="1" t="s">
        <v>91</v>
      </c>
      <c r="C55" t="s">
        <v>134</v>
      </c>
      <c r="D55" t="s">
        <v>142</v>
      </c>
    </row>
    <row r="56" spans="1:4" x14ac:dyDescent="0.25">
      <c r="A56" s="1" t="s">
        <v>105</v>
      </c>
      <c r="B56" s="1" t="s">
        <v>92</v>
      </c>
      <c r="C56" t="s">
        <v>152</v>
      </c>
      <c r="D56" t="s">
        <v>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26A9-C023-41CF-8B1E-9C9C17CFAD50}">
  <dimension ref="A1:AA61"/>
  <sheetViews>
    <sheetView workbookViewId="0">
      <selection sqref="A1:AA61"/>
    </sheetView>
  </sheetViews>
  <sheetFormatPr defaultRowHeight="15" x14ac:dyDescent="0.25"/>
  <cols>
    <col min="1" max="9" width="11" customWidth="1"/>
    <col min="10" max="27" width="12" customWidth="1"/>
  </cols>
  <sheetData>
    <row r="1" spans="1:2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</row>
    <row r="2" spans="1:27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</row>
    <row r="3" spans="1:27" x14ac:dyDescent="0.25">
      <c r="A3" t="s">
        <v>69</v>
      </c>
      <c r="B3" t="s">
        <v>39</v>
      </c>
      <c r="C3" t="s">
        <v>40</v>
      </c>
      <c r="D3" t="s">
        <v>42</v>
      </c>
      <c r="E3" t="s">
        <v>43</v>
      </c>
      <c r="F3" t="s">
        <v>44</v>
      </c>
      <c r="G3" t="s">
        <v>70</v>
      </c>
      <c r="H3" t="s">
        <v>45</v>
      </c>
      <c r="I3" t="s">
        <v>71</v>
      </c>
      <c r="J3" t="s">
        <v>46</v>
      </c>
      <c r="K3" t="s">
        <v>47</v>
      </c>
      <c r="L3" t="s">
        <v>72</v>
      </c>
      <c r="M3" t="s">
        <v>62</v>
      </c>
      <c r="N3" t="s">
        <v>50</v>
      </c>
      <c r="O3" t="s">
        <v>51</v>
      </c>
      <c r="P3" t="s">
        <v>65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73</v>
      </c>
      <c r="W3" t="s">
        <v>57</v>
      </c>
      <c r="X3" t="s">
        <v>58</v>
      </c>
      <c r="Y3" t="s">
        <v>74</v>
      </c>
      <c r="Z3" t="s">
        <v>60</v>
      </c>
    </row>
    <row r="4" spans="1:27" x14ac:dyDescent="0.25">
      <c r="A4" t="s">
        <v>69</v>
      </c>
      <c r="B4" t="s">
        <v>39</v>
      </c>
      <c r="C4" t="s">
        <v>40</v>
      </c>
      <c r="D4" t="s">
        <v>42</v>
      </c>
      <c r="E4" t="s">
        <v>43</v>
      </c>
      <c r="F4" t="s">
        <v>44</v>
      </c>
      <c r="G4" t="s">
        <v>70</v>
      </c>
      <c r="H4" t="s">
        <v>45</v>
      </c>
      <c r="I4" t="s">
        <v>76</v>
      </c>
      <c r="J4" t="s">
        <v>46</v>
      </c>
      <c r="K4" t="s">
        <v>47</v>
      </c>
      <c r="L4" t="s">
        <v>72</v>
      </c>
      <c r="M4" t="s">
        <v>62</v>
      </c>
      <c r="N4" t="s">
        <v>49</v>
      </c>
      <c r="O4" t="s">
        <v>50</v>
      </c>
      <c r="P4" t="s">
        <v>51</v>
      </c>
      <c r="Q4" t="s">
        <v>52</v>
      </c>
      <c r="R4" t="s">
        <v>66</v>
      </c>
      <c r="S4" t="s">
        <v>53</v>
      </c>
      <c r="T4" t="s">
        <v>54</v>
      </c>
      <c r="U4" t="s">
        <v>56</v>
      </c>
      <c r="V4" t="s">
        <v>73</v>
      </c>
      <c r="W4" t="s">
        <v>57</v>
      </c>
      <c r="X4" t="s">
        <v>58</v>
      </c>
      <c r="Y4" t="s">
        <v>60</v>
      </c>
    </row>
    <row r="5" spans="1:27" x14ac:dyDescent="0.25">
      <c r="A5" t="s">
        <v>39</v>
      </c>
      <c r="B5" t="s">
        <v>42</v>
      </c>
      <c r="C5" t="s">
        <v>43</v>
      </c>
      <c r="D5" t="s">
        <v>44</v>
      </c>
      <c r="E5" t="s">
        <v>45</v>
      </c>
      <c r="F5" t="s">
        <v>47</v>
      </c>
      <c r="G5" t="s">
        <v>50</v>
      </c>
      <c r="H5" t="s">
        <v>51</v>
      </c>
      <c r="I5" t="s">
        <v>63</v>
      </c>
      <c r="J5" t="s">
        <v>65</v>
      </c>
      <c r="K5" t="s">
        <v>52</v>
      </c>
      <c r="L5" t="s">
        <v>53</v>
      </c>
      <c r="M5" t="s">
        <v>54</v>
      </c>
      <c r="N5" t="s">
        <v>81</v>
      </c>
      <c r="O5" t="s">
        <v>82</v>
      </c>
      <c r="P5" t="s">
        <v>55</v>
      </c>
      <c r="Q5" t="s">
        <v>83</v>
      </c>
      <c r="R5" t="s">
        <v>56</v>
      </c>
      <c r="S5" t="s">
        <v>73</v>
      </c>
      <c r="T5" t="s">
        <v>57</v>
      </c>
      <c r="U5" t="s">
        <v>58</v>
      </c>
      <c r="V5" t="s">
        <v>59</v>
      </c>
      <c r="W5" t="s">
        <v>74</v>
      </c>
      <c r="X5" t="s">
        <v>60</v>
      </c>
    </row>
    <row r="6" spans="1:27" x14ac:dyDescent="0.25">
      <c r="A6" t="s">
        <v>69</v>
      </c>
      <c r="B6" t="s">
        <v>38</v>
      </c>
      <c r="C6" t="s">
        <v>39</v>
      </c>
      <c r="D6" t="s">
        <v>40</v>
      </c>
      <c r="E6" t="s">
        <v>42</v>
      </c>
      <c r="F6" t="s">
        <v>43</v>
      </c>
      <c r="G6" t="s">
        <v>70</v>
      </c>
      <c r="H6" t="s">
        <v>45</v>
      </c>
      <c r="I6" t="s">
        <v>76</v>
      </c>
      <c r="J6" t="s">
        <v>46</v>
      </c>
      <c r="K6" t="s">
        <v>47</v>
      </c>
      <c r="L6" t="s">
        <v>72</v>
      </c>
      <c r="M6" t="s">
        <v>62</v>
      </c>
      <c r="N6" t="s">
        <v>49</v>
      </c>
      <c r="O6" t="s">
        <v>50</v>
      </c>
      <c r="P6" t="s">
        <v>51</v>
      </c>
      <c r="Q6" t="s">
        <v>79</v>
      </c>
      <c r="R6" t="s">
        <v>66</v>
      </c>
      <c r="S6" t="s">
        <v>53</v>
      </c>
      <c r="T6" t="s">
        <v>54</v>
      </c>
      <c r="U6" t="s">
        <v>56</v>
      </c>
      <c r="V6" t="s">
        <v>73</v>
      </c>
      <c r="W6" t="s">
        <v>57</v>
      </c>
      <c r="X6" t="s">
        <v>58</v>
      </c>
      <c r="Y6" t="s">
        <v>60</v>
      </c>
    </row>
    <row r="7" spans="1:27" x14ac:dyDescent="0.25">
      <c r="A7" t="s">
        <v>69</v>
      </c>
      <c r="B7" t="s">
        <v>39</v>
      </c>
      <c r="C7" t="s">
        <v>40</v>
      </c>
      <c r="D7" t="s">
        <v>42</v>
      </c>
      <c r="E7" t="s">
        <v>43</v>
      </c>
      <c r="F7" t="s">
        <v>44</v>
      </c>
      <c r="G7" t="s">
        <v>70</v>
      </c>
      <c r="H7" t="s">
        <v>45</v>
      </c>
      <c r="I7" t="s">
        <v>47</v>
      </c>
      <c r="J7" t="s">
        <v>72</v>
      </c>
      <c r="K7" t="s">
        <v>50</v>
      </c>
      <c r="L7" t="s">
        <v>51</v>
      </c>
      <c r="M7" t="s">
        <v>65</v>
      </c>
      <c r="N7" t="s">
        <v>52</v>
      </c>
      <c r="O7" t="s">
        <v>53</v>
      </c>
      <c r="P7" t="s">
        <v>54</v>
      </c>
      <c r="Q7" t="s">
        <v>55</v>
      </c>
      <c r="R7" t="s">
        <v>56</v>
      </c>
      <c r="S7" t="s">
        <v>73</v>
      </c>
      <c r="T7" t="s">
        <v>57</v>
      </c>
      <c r="U7" t="s">
        <v>58</v>
      </c>
      <c r="V7" t="s">
        <v>59</v>
      </c>
      <c r="W7" t="s">
        <v>74</v>
      </c>
      <c r="X7" t="s">
        <v>60</v>
      </c>
    </row>
    <row r="8" spans="1:27" x14ac:dyDescent="0.25">
      <c r="A8" t="s">
        <v>69</v>
      </c>
      <c r="B8" t="s">
        <v>38</v>
      </c>
      <c r="C8" t="s">
        <v>39</v>
      </c>
      <c r="D8" t="s">
        <v>40</v>
      </c>
      <c r="E8" t="s">
        <v>42</v>
      </c>
      <c r="F8" t="s">
        <v>43</v>
      </c>
      <c r="G8" t="s">
        <v>44</v>
      </c>
      <c r="H8" t="s">
        <v>70</v>
      </c>
      <c r="I8" t="s">
        <v>45</v>
      </c>
      <c r="J8" t="s">
        <v>76</v>
      </c>
      <c r="K8" t="s">
        <v>46</v>
      </c>
      <c r="L8" t="s">
        <v>47</v>
      </c>
      <c r="M8" t="s">
        <v>72</v>
      </c>
      <c r="N8" t="s">
        <v>50</v>
      </c>
      <c r="O8" t="s">
        <v>51</v>
      </c>
      <c r="P8" t="s">
        <v>52</v>
      </c>
      <c r="Q8" t="s">
        <v>53</v>
      </c>
      <c r="R8" t="s">
        <v>68</v>
      </c>
      <c r="S8" t="s">
        <v>54</v>
      </c>
      <c r="T8" t="s">
        <v>55</v>
      </c>
      <c r="U8" t="s">
        <v>56</v>
      </c>
      <c r="V8" t="s">
        <v>57</v>
      </c>
      <c r="W8" t="s">
        <v>58</v>
      </c>
      <c r="X8" t="s">
        <v>74</v>
      </c>
      <c r="Y8" t="s">
        <v>60</v>
      </c>
    </row>
    <row r="9" spans="1:27" x14ac:dyDescent="0.25">
      <c r="A9" t="s">
        <v>69</v>
      </c>
      <c r="B9" t="s">
        <v>39</v>
      </c>
      <c r="C9" t="s">
        <v>40</v>
      </c>
      <c r="D9" t="s">
        <v>42</v>
      </c>
      <c r="E9" t="s">
        <v>43</v>
      </c>
      <c r="F9" t="s">
        <v>44</v>
      </c>
      <c r="G9" t="s">
        <v>70</v>
      </c>
      <c r="H9" t="s">
        <v>45</v>
      </c>
      <c r="I9" t="s">
        <v>76</v>
      </c>
      <c r="J9" t="s">
        <v>46</v>
      </c>
      <c r="K9" t="s">
        <v>47</v>
      </c>
      <c r="L9" t="s">
        <v>72</v>
      </c>
      <c r="M9" t="s">
        <v>84</v>
      </c>
      <c r="N9" t="s">
        <v>50</v>
      </c>
      <c r="O9" t="s">
        <v>51</v>
      </c>
      <c r="P9" t="s">
        <v>52</v>
      </c>
      <c r="Q9" t="s">
        <v>66</v>
      </c>
      <c r="R9" t="s">
        <v>53</v>
      </c>
      <c r="S9" t="s">
        <v>68</v>
      </c>
      <c r="T9" t="s">
        <v>54</v>
      </c>
      <c r="U9" t="s">
        <v>55</v>
      </c>
      <c r="V9" t="s">
        <v>56</v>
      </c>
      <c r="W9" t="s">
        <v>57</v>
      </c>
      <c r="X9" t="s">
        <v>58</v>
      </c>
      <c r="Y9" t="s">
        <v>74</v>
      </c>
      <c r="Z9" t="s">
        <v>60</v>
      </c>
    </row>
    <row r="10" spans="1:27" x14ac:dyDescent="0.25">
      <c r="A10" t="s">
        <v>69</v>
      </c>
      <c r="B10" t="s">
        <v>38</v>
      </c>
      <c r="C10" t="s">
        <v>39</v>
      </c>
      <c r="D10" t="s">
        <v>40</v>
      </c>
      <c r="E10" t="s">
        <v>61</v>
      </c>
      <c r="F10" t="s">
        <v>42</v>
      </c>
      <c r="G10" t="s">
        <v>43</v>
      </c>
      <c r="H10" t="s">
        <v>44</v>
      </c>
      <c r="I10" t="s">
        <v>70</v>
      </c>
      <c r="J10" t="s">
        <v>45</v>
      </c>
      <c r="K10" t="s">
        <v>76</v>
      </c>
      <c r="L10" t="s">
        <v>46</v>
      </c>
      <c r="M10" t="s">
        <v>47</v>
      </c>
      <c r="N10" t="s">
        <v>48</v>
      </c>
      <c r="O10" t="s">
        <v>84</v>
      </c>
      <c r="P10" t="s">
        <v>49</v>
      </c>
      <c r="Q10" t="s">
        <v>50</v>
      </c>
      <c r="R10" t="s">
        <v>51</v>
      </c>
      <c r="S10" t="s">
        <v>52</v>
      </c>
      <c r="T10" t="s">
        <v>66</v>
      </c>
      <c r="U10" t="s">
        <v>53</v>
      </c>
      <c r="V10" t="s">
        <v>68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</row>
    <row r="11" spans="1:27" x14ac:dyDescent="0.25">
      <c r="A11" t="s">
        <v>38</v>
      </c>
      <c r="B11" t="s">
        <v>39</v>
      </c>
      <c r="C11" t="s">
        <v>42</v>
      </c>
      <c r="D11" t="s">
        <v>43</v>
      </c>
      <c r="E11" t="s">
        <v>44</v>
      </c>
      <c r="F11" t="s">
        <v>45</v>
      </c>
      <c r="G11" t="s">
        <v>47</v>
      </c>
      <c r="H11" t="s">
        <v>62</v>
      </c>
      <c r="I11" t="s">
        <v>84</v>
      </c>
      <c r="J11" t="s">
        <v>49</v>
      </c>
      <c r="K11" t="s">
        <v>50</v>
      </c>
      <c r="L11" t="s">
        <v>51</v>
      </c>
      <c r="M11" t="s">
        <v>65</v>
      </c>
      <c r="N11" t="s">
        <v>52</v>
      </c>
      <c r="O11" t="s">
        <v>66</v>
      </c>
      <c r="P11" t="s">
        <v>53</v>
      </c>
      <c r="Q11" t="s">
        <v>68</v>
      </c>
      <c r="R11" t="s">
        <v>54</v>
      </c>
      <c r="S11" t="s">
        <v>55</v>
      </c>
      <c r="T11" t="s">
        <v>83</v>
      </c>
      <c r="U11" t="s">
        <v>56</v>
      </c>
      <c r="V11" t="s">
        <v>57</v>
      </c>
      <c r="W11" t="s">
        <v>58</v>
      </c>
      <c r="X11" t="s">
        <v>74</v>
      </c>
      <c r="Y11" t="s">
        <v>60</v>
      </c>
    </row>
    <row r="12" spans="1:27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</row>
    <row r="13" spans="1:27" x14ac:dyDescent="0.25">
      <c r="A13" t="s">
        <v>63</v>
      </c>
      <c r="B13" t="s">
        <v>64</v>
      </c>
      <c r="C13" t="s">
        <v>75</v>
      </c>
      <c r="D13" t="s">
        <v>66</v>
      </c>
      <c r="E13" t="s">
        <v>67</v>
      </c>
      <c r="F13" t="s">
        <v>68</v>
      </c>
    </row>
    <row r="14" spans="1:27" x14ac:dyDescent="0.25">
      <c r="A14" t="s">
        <v>77</v>
      </c>
      <c r="B14" t="s">
        <v>78</v>
      </c>
      <c r="C14" t="s">
        <v>64</v>
      </c>
      <c r="D14" t="s">
        <v>65</v>
      </c>
      <c r="E14" t="s">
        <v>79</v>
      </c>
      <c r="F14" t="s">
        <v>68</v>
      </c>
      <c r="G14" t="s">
        <v>80</v>
      </c>
    </row>
    <row r="15" spans="1:27" x14ac:dyDescent="0.25">
      <c r="A15" t="s">
        <v>40</v>
      </c>
      <c r="B15" t="s">
        <v>49</v>
      </c>
      <c r="C15" t="s">
        <v>64</v>
      </c>
      <c r="D15" t="s">
        <v>75</v>
      </c>
      <c r="E15" t="s">
        <v>79</v>
      </c>
      <c r="F15" t="s">
        <v>66</v>
      </c>
      <c r="G15" t="s">
        <v>68</v>
      </c>
      <c r="H15" t="s">
        <v>80</v>
      </c>
    </row>
    <row r="16" spans="1:27" x14ac:dyDescent="0.25">
      <c r="A16" t="s">
        <v>44</v>
      </c>
      <c r="B16" t="s">
        <v>63</v>
      </c>
      <c r="C16" t="s">
        <v>64</v>
      </c>
      <c r="D16" t="s">
        <v>65</v>
      </c>
      <c r="E16" t="s">
        <v>75</v>
      </c>
      <c r="F16" t="s">
        <v>52</v>
      </c>
      <c r="G16" t="s">
        <v>68</v>
      </c>
    </row>
    <row r="17" spans="1:27" x14ac:dyDescent="0.25">
      <c r="A17" t="s">
        <v>62</v>
      </c>
      <c r="B17" t="s">
        <v>63</v>
      </c>
      <c r="C17" t="s">
        <v>64</v>
      </c>
      <c r="D17" t="s">
        <v>75</v>
      </c>
      <c r="E17" t="s">
        <v>79</v>
      </c>
      <c r="F17" t="s">
        <v>66</v>
      </c>
      <c r="G17" t="s">
        <v>68</v>
      </c>
      <c r="H17" t="s">
        <v>80</v>
      </c>
    </row>
    <row r="18" spans="1:27" x14ac:dyDescent="0.25">
      <c r="A18" t="s">
        <v>49</v>
      </c>
      <c r="B18" t="s">
        <v>63</v>
      </c>
      <c r="C18" t="s">
        <v>64</v>
      </c>
      <c r="D18" t="s">
        <v>65</v>
      </c>
      <c r="E18" t="s">
        <v>75</v>
      </c>
      <c r="F18" t="s">
        <v>79</v>
      </c>
      <c r="G18" t="s">
        <v>66</v>
      </c>
      <c r="H18" t="s">
        <v>80</v>
      </c>
    </row>
    <row r="19" spans="1:27" x14ac:dyDescent="0.25">
      <c r="A19" t="s">
        <v>63</v>
      </c>
      <c r="B19" t="s">
        <v>64</v>
      </c>
      <c r="C19" t="s">
        <v>65</v>
      </c>
      <c r="D19" t="s">
        <v>75</v>
      </c>
      <c r="E19" t="s">
        <v>79</v>
      </c>
      <c r="F19" t="s">
        <v>80</v>
      </c>
      <c r="G19" t="s">
        <v>73</v>
      </c>
    </row>
    <row r="20" spans="1:27" x14ac:dyDescent="0.25">
      <c r="A20" t="s">
        <v>62</v>
      </c>
      <c r="B20" t="s">
        <v>65</v>
      </c>
      <c r="C20" t="s">
        <v>79</v>
      </c>
      <c r="D20" t="s">
        <v>67</v>
      </c>
      <c r="E20" t="s">
        <v>80</v>
      </c>
      <c r="F20" t="s">
        <v>73</v>
      </c>
    </row>
    <row r="21" spans="1:27" x14ac:dyDescent="0.25">
      <c r="A21" t="s">
        <v>40</v>
      </c>
      <c r="B21" t="s">
        <v>61</v>
      </c>
      <c r="C21" t="s">
        <v>63</v>
      </c>
      <c r="D21" t="s">
        <v>64</v>
      </c>
      <c r="E21" t="s">
        <v>75</v>
      </c>
      <c r="F21" t="s">
        <v>67</v>
      </c>
      <c r="G21" t="s">
        <v>80</v>
      </c>
    </row>
    <row r="22" spans="1:27" x14ac:dyDescent="0.25">
      <c r="A22" t="s">
        <v>38</v>
      </c>
      <c r="B22" t="s">
        <v>39</v>
      </c>
      <c r="C22" t="s">
        <v>43</v>
      </c>
      <c r="D22" t="s">
        <v>44</v>
      </c>
      <c r="E22" t="s">
        <v>45</v>
      </c>
      <c r="F22" t="s">
        <v>49</v>
      </c>
      <c r="G22" t="s">
        <v>50</v>
      </c>
      <c r="H22" t="s">
        <v>51</v>
      </c>
      <c r="I22" t="s">
        <v>65</v>
      </c>
      <c r="J22" t="s">
        <v>52</v>
      </c>
      <c r="K22" t="s">
        <v>79</v>
      </c>
      <c r="L22" t="s">
        <v>66</v>
      </c>
      <c r="M22" t="s">
        <v>53</v>
      </c>
      <c r="N22" t="s">
        <v>67</v>
      </c>
      <c r="O22" t="s">
        <v>68</v>
      </c>
      <c r="P22" t="s">
        <v>80</v>
      </c>
      <c r="Q22" t="s">
        <v>54</v>
      </c>
      <c r="R22" t="s">
        <v>85</v>
      </c>
      <c r="S22" t="s">
        <v>55</v>
      </c>
      <c r="T22" t="s">
        <v>56</v>
      </c>
      <c r="U22" t="s">
        <v>73</v>
      </c>
      <c r="V22" t="s">
        <v>57</v>
      </c>
      <c r="W22" t="s">
        <v>58</v>
      </c>
      <c r="X22" t="s">
        <v>86</v>
      </c>
      <c r="Y22" t="s">
        <v>59</v>
      </c>
      <c r="Z22" t="s">
        <v>74</v>
      </c>
      <c r="AA22" t="s">
        <v>60</v>
      </c>
    </row>
    <row r="23" spans="1:27" x14ac:dyDescent="0.25">
      <c r="A23" t="s">
        <v>39</v>
      </c>
      <c r="B23" t="s">
        <v>43</v>
      </c>
      <c r="C23" t="s">
        <v>44</v>
      </c>
      <c r="D23" t="s">
        <v>70</v>
      </c>
      <c r="E23" t="s">
        <v>45</v>
      </c>
      <c r="F23" t="s">
        <v>50</v>
      </c>
      <c r="G23" t="s">
        <v>51</v>
      </c>
      <c r="H23" t="s">
        <v>65</v>
      </c>
      <c r="I23" t="s">
        <v>52</v>
      </c>
      <c r="J23" t="s">
        <v>66</v>
      </c>
      <c r="K23" t="s">
        <v>53</v>
      </c>
      <c r="L23" t="s">
        <v>67</v>
      </c>
      <c r="M23" t="s">
        <v>54</v>
      </c>
      <c r="N23" t="s">
        <v>81</v>
      </c>
      <c r="O23" t="s">
        <v>56</v>
      </c>
      <c r="P23" t="s">
        <v>73</v>
      </c>
      <c r="Q23" t="s">
        <v>57</v>
      </c>
      <c r="R23" t="s">
        <v>58</v>
      </c>
      <c r="S23" t="s">
        <v>86</v>
      </c>
      <c r="T23" t="s">
        <v>59</v>
      </c>
      <c r="U23" t="s">
        <v>74</v>
      </c>
      <c r="V23" t="s">
        <v>60</v>
      </c>
    </row>
    <row r="24" spans="1:27" x14ac:dyDescent="0.25">
      <c r="A24" t="s">
        <v>69</v>
      </c>
      <c r="B24" t="s">
        <v>38</v>
      </c>
      <c r="C24" t="s">
        <v>39</v>
      </c>
      <c r="D24" t="s">
        <v>42</v>
      </c>
      <c r="E24" t="s">
        <v>43</v>
      </c>
      <c r="F24" t="s">
        <v>44</v>
      </c>
      <c r="G24" t="s">
        <v>70</v>
      </c>
      <c r="H24" t="s">
        <v>45</v>
      </c>
      <c r="I24" t="s">
        <v>76</v>
      </c>
      <c r="J24" t="s">
        <v>46</v>
      </c>
      <c r="K24" t="s">
        <v>47</v>
      </c>
      <c r="L24" t="s">
        <v>72</v>
      </c>
      <c r="M24" t="s">
        <v>50</v>
      </c>
      <c r="N24" t="s">
        <v>51</v>
      </c>
      <c r="O24" t="s">
        <v>64</v>
      </c>
      <c r="P24" t="s">
        <v>52</v>
      </c>
      <c r="Q24" t="s">
        <v>53</v>
      </c>
      <c r="R24" t="s">
        <v>54</v>
      </c>
      <c r="S24" t="s">
        <v>82</v>
      </c>
      <c r="T24" t="s">
        <v>55</v>
      </c>
      <c r="U24" t="s">
        <v>83</v>
      </c>
      <c r="V24" t="s">
        <v>57</v>
      </c>
      <c r="W24" t="s">
        <v>58</v>
      </c>
      <c r="X24" t="s">
        <v>59</v>
      </c>
      <c r="Y24" t="s">
        <v>60</v>
      </c>
    </row>
    <row r="25" spans="1:27" x14ac:dyDescent="0.25">
      <c r="A25" t="s">
        <v>38</v>
      </c>
      <c r="B25" t="s">
        <v>39</v>
      </c>
      <c r="C25" t="s">
        <v>44</v>
      </c>
      <c r="D25" t="s">
        <v>45</v>
      </c>
      <c r="E25" t="s">
        <v>50</v>
      </c>
      <c r="F25" t="s">
        <v>51</v>
      </c>
      <c r="G25" t="s">
        <v>79</v>
      </c>
      <c r="H25" t="s">
        <v>66</v>
      </c>
      <c r="I25" t="s">
        <v>88</v>
      </c>
      <c r="J25" t="s">
        <v>53</v>
      </c>
      <c r="K25" t="s">
        <v>67</v>
      </c>
      <c r="L25" t="s">
        <v>87</v>
      </c>
      <c r="M25" t="s">
        <v>68</v>
      </c>
      <c r="N25" t="s">
        <v>80</v>
      </c>
      <c r="O25" t="s">
        <v>54</v>
      </c>
      <c r="P25" t="s">
        <v>81</v>
      </c>
      <c r="Q25" t="s">
        <v>82</v>
      </c>
      <c r="R25" t="s">
        <v>55</v>
      </c>
      <c r="S25" t="s">
        <v>83</v>
      </c>
      <c r="T25" t="s">
        <v>56</v>
      </c>
      <c r="U25" t="s">
        <v>73</v>
      </c>
      <c r="V25" t="s">
        <v>57</v>
      </c>
      <c r="W25" t="s">
        <v>58</v>
      </c>
      <c r="X25" t="s">
        <v>86</v>
      </c>
      <c r="Y25" t="s">
        <v>59</v>
      </c>
      <c r="Z25" t="s">
        <v>74</v>
      </c>
      <c r="AA25" t="s">
        <v>60</v>
      </c>
    </row>
    <row r="26" spans="1:27" x14ac:dyDescent="0.25">
      <c r="A26" t="s">
        <v>69</v>
      </c>
      <c r="B26" t="s">
        <v>38</v>
      </c>
      <c r="C26" t="s">
        <v>39</v>
      </c>
      <c r="D26" t="s">
        <v>40</v>
      </c>
      <c r="E26" t="s">
        <v>43</v>
      </c>
      <c r="F26" t="s">
        <v>44</v>
      </c>
      <c r="G26" t="s">
        <v>70</v>
      </c>
      <c r="H26" t="s">
        <v>45</v>
      </c>
      <c r="I26" t="s">
        <v>47</v>
      </c>
      <c r="J26" t="s">
        <v>72</v>
      </c>
      <c r="K26" t="s">
        <v>49</v>
      </c>
      <c r="L26" t="s">
        <v>50</v>
      </c>
      <c r="M26" t="s">
        <v>51</v>
      </c>
      <c r="N26" t="s">
        <v>79</v>
      </c>
      <c r="O26" t="s">
        <v>66</v>
      </c>
      <c r="P26" t="s">
        <v>53</v>
      </c>
      <c r="Q26" t="s">
        <v>54</v>
      </c>
      <c r="R26" t="s">
        <v>56</v>
      </c>
      <c r="S26" t="s">
        <v>73</v>
      </c>
      <c r="T26" t="s">
        <v>57</v>
      </c>
      <c r="U26" t="s">
        <v>58</v>
      </c>
      <c r="V26" t="s">
        <v>86</v>
      </c>
      <c r="W26" t="s">
        <v>59</v>
      </c>
      <c r="X26" t="s">
        <v>74</v>
      </c>
      <c r="Y26" t="s">
        <v>60</v>
      </c>
    </row>
    <row r="27" spans="1:27" x14ac:dyDescent="0.25">
      <c r="A27" t="s">
        <v>39</v>
      </c>
      <c r="B27" t="s">
        <v>43</v>
      </c>
      <c r="C27" t="s">
        <v>44</v>
      </c>
      <c r="D27" t="s">
        <v>45</v>
      </c>
      <c r="E27" t="s">
        <v>51</v>
      </c>
      <c r="F27" t="s">
        <v>65</v>
      </c>
      <c r="G27" t="s">
        <v>52</v>
      </c>
      <c r="H27" t="s">
        <v>79</v>
      </c>
      <c r="I27" t="s">
        <v>66</v>
      </c>
      <c r="J27" t="s">
        <v>53</v>
      </c>
      <c r="K27" t="s">
        <v>80</v>
      </c>
      <c r="L27" t="s">
        <v>54</v>
      </c>
      <c r="M27" t="s">
        <v>81</v>
      </c>
      <c r="N27" t="s">
        <v>82</v>
      </c>
      <c r="O27" t="s">
        <v>55</v>
      </c>
      <c r="P27" t="s">
        <v>56</v>
      </c>
      <c r="Q27" t="s">
        <v>73</v>
      </c>
      <c r="R27" t="s">
        <v>57</v>
      </c>
      <c r="S27" t="s">
        <v>58</v>
      </c>
      <c r="T27" t="s">
        <v>86</v>
      </c>
      <c r="U27" t="s">
        <v>59</v>
      </c>
      <c r="V27" t="s">
        <v>74</v>
      </c>
      <c r="W27" t="s">
        <v>60</v>
      </c>
    </row>
    <row r="28" spans="1:27" x14ac:dyDescent="0.25">
      <c r="A28" t="s">
        <v>69</v>
      </c>
      <c r="B28" t="s">
        <v>39</v>
      </c>
      <c r="C28" t="s">
        <v>43</v>
      </c>
      <c r="D28" t="s">
        <v>44</v>
      </c>
      <c r="E28" t="s">
        <v>70</v>
      </c>
      <c r="F28" t="s">
        <v>45</v>
      </c>
      <c r="G28" t="s">
        <v>72</v>
      </c>
      <c r="H28" t="s">
        <v>50</v>
      </c>
      <c r="I28" t="s">
        <v>51</v>
      </c>
      <c r="J28" t="s">
        <v>53</v>
      </c>
      <c r="K28" t="s">
        <v>68</v>
      </c>
      <c r="L28" t="s">
        <v>54</v>
      </c>
      <c r="M28" t="s">
        <v>81</v>
      </c>
      <c r="N28" t="s">
        <v>82</v>
      </c>
      <c r="O28" t="s">
        <v>55</v>
      </c>
      <c r="P28" t="s">
        <v>56</v>
      </c>
      <c r="Q28" t="s">
        <v>73</v>
      </c>
      <c r="R28" t="s">
        <v>57</v>
      </c>
      <c r="S28" t="s">
        <v>58</v>
      </c>
      <c r="T28" t="s">
        <v>86</v>
      </c>
      <c r="U28" t="s">
        <v>59</v>
      </c>
      <c r="V28" t="s">
        <v>74</v>
      </c>
      <c r="W28" t="s">
        <v>60</v>
      </c>
    </row>
    <row r="29" spans="1:27" x14ac:dyDescent="0.25">
      <c r="A29" t="s">
        <v>69</v>
      </c>
      <c r="B29" t="s">
        <v>39</v>
      </c>
      <c r="C29" t="s">
        <v>44</v>
      </c>
      <c r="D29" t="s">
        <v>70</v>
      </c>
      <c r="E29" t="s">
        <v>45</v>
      </c>
      <c r="F29" t="s">
        <v>76</v>
      </c>
      <c r="G29" t="s">
        <v>46</v>
      </c>
      <c r="H29" t="s">
        <v>72</v>
      </c>
      <c r="I29" t="s">
        <v>50</v>
      </c>
      <c r="J29" t="s">
        <v>51</v>
      </c>
      <c r="K29" t="s">
        <v>66</v>
      </c>
      <c r="L29" t="s">
        <v>53</v>
      </c>
      <c r="M29" t="s">
        <v>67</v>
      </c>
      <c r="N29" t="s">
        <v>68</v>
      </c>
      <c r="O29" t="s">
        <v>54</v>
      </c>
      <c r="P29" t="s">
        <v>55</v>
      </c>
      <c r="Q29" t="s">
        <v>56</v>
      </c>
      <c r="R29" t="s">
        <v>73</v>
      </c>
      <c r="S29" t="s">
        <v>57</v>
      </c>
      <c r="T29" t="s">
        <v>58</v>
      </c>
      <c r="U29" t="s">
        <v>86</v>
      </c>
      <c r="V29" t="s">
        <v>59</v>
      </c>
      <c r="W29" t="s">
        <v>74</v>
      </c>
      <c r="X29" t="s">
        <v>60</v>
      </c>
    </row>
    <row r="30" spans="1:27" x14ac:dyDescent="0.25">
      <c r="A30" t="s">
        <v>69</v>
      </c>
      <c r="B30" t="s">
        <v>39</v>
      </c>
      <c r="C30" t="s">
        <v>43</v>
      </c>
      <c r="D30" t="s">
        <v>44</v>
      </c>
      <c r="E30" t="s">
        <v>45</v>
      </c>
      <c r="F30" t="s">
        <v>84</v>
      </c>
      <c r="G30" t="s">
        <v>50</v>
      </c>
      <c r="H30" t="s">
        <v>51</v>
      </c>
      <c r="I30" t="s">
        <v>65</v>
      </c>
      <c r="J30" t="s">
        <v>66</v>
      </c>
      <c r="K30" t="s">
        <v>53</v>
      </c>
      <c r="L30" t="s">
        <v>67</v>
      </c>
      <c r="M30" t="s">
        <v>68</v>
      </c>
      <c r="N30" t="s">
        <v>80</v>
      </c>
      <c r="O30" t="s">
        <v>54</v>
      </c>
      <c r="P30" t="s">
        <v>85</v>
      </c>
      <c r="Q30" t="s">
        <v>55</v>
      </c>
      <c r="R30" t="s">
        <v>83</v>
      </c>
      <c r="S30" t="s">
        <v>56</v>
      </c>
      <c r="T30" t="s">
        <v>73</v>
      </c>
      <c r="U30" t="s">
        <v>57</v>
      </c>
      <c r="V30" t="s">
        <v>58</v>
      </c>
      <c r="W30" t="s">
        <v>86</v>
      </c>
      <c r="X30" t="s">
        <v>59</v>
      </c>
      <c r="Y30" t="s">
        <v>74</v>
      </c>
      <c r="Z30" t="s">
        <v>60</v>
      </c>
    </row>
    <row r="31" spans="1:27" x14ac:dyDescent="0.25">
      <c r="A31" t="s">
        <v>38</v>
      </c>
      <c r="B31" t="s">
        <v>39</v>
      </c>
      <c r="C31" t="s">
        <v>43</v>
      </c>
      <c r="D31" t="s">
        <v>45</v>
      </c>
      <c r="E31" t="s">
        <v>51</v>
      </c>
      <c r="F31" t="s">
        <v>65</v>
      </c>
      <c r="G31" t="s">
        <v>52</v>
      </c>
      <c r="H31" t="s">
        <v>79</v>
      </c>
      <c r="I31" t="s">
        <v>66</v>
      </c>
      <c r="J31" t="s">
        <v>53</v>
      </c>
      <c r="K31" t="s">
        <v>67</v>
      </c>
      <c r="L31" t="s">
        <v>68</v>
      </c>
      <c r="M31" t="s">
        <v>80</v>
      </c>
      <c r="N31" t="s">
        <v>89</v>
      </c>
      <c r="O31" t="s">
        <v>54</v>
      </c>
      <c r="P31" t="s">
        <v>85</v>
      </c>
      <c r="Q31" t="s">
        <v>55</v>
      </c>
      <c r="R31" t="s">
        <v>56</v>
      </c>
      <c r="S31" t="s">
        <v>73</v>
      </c>
      <c r="T31" t="s">
        <v>57</v>
      </c>
      <c r="U31" t="s">
        <v>58</v>
      </c>
      <c r="V31" t="s">
        <v>86</v>
      </c>
      <c r="W31" t="s">
        <v>59</v>
      </c>
      <c r="X31" t="s">
        <v>74</v>
      </c>
      <c r="Y31" t="s">
        <v>60</v>
      </c>
    </row>
    <row r="32" spans="1:27" x14ac:dyDescent="0.25">
      <c r="A32" t="s">
        <v>63</v>
      </c>
      <c r="B32" t="s">
        <v>64</v>
      </c>
      <c r="C32" t="s">
        <v>75</v>
      </c>
      <c r="D32" t="s">
        <v>87</v>
      </c>
    </row>
    <row r="33" spans="1:26" x14ac:dyDescent="0.25">
      <c r="A33" t="s">
        <v>38</v>
      </c>
      <c r="B33" t="s">
        <v>63</v>
      </c>
      <c r="C33" t="s">
        <v>68</v>
      </c>
      <c r="D33" t="s">
        <v>80</v>
      </c>
      <c r="E33" t="s">
        <v>82</v>
      </c>
      <c r="F33" t="s">
        <v>55</v>
      </c>
      <c r="G33" t="s">
        <v>83</v>
      </c>
    </row>
    <row r="34" spans="1:26" x14ac:dyDescent="0.25">
      <c r="A34" t="s">
        <v>49</v>
      </c>
      <c r="B34" t="s">
        <v>65</v>
      </c>
      <c r="C34" t="s">
        <v>66</v>
      </c>
      <c r="D34" t="s">
        <v>68</v>
      </c>
      <c r="E34" t="s">
        <v>73</v>
      </c>
    </row>
    <row r="35" spans="1:26" x14ac:dyDescent="0.25">
      <c r="A35" t="s">
        <v>49</v>
      </c>
      <c r="B35" t="s">
        <v>52</v>
      </c>
    </row>
    <row r="36" spans="1:26" x14ac:dyDescent="0.25">
      <c r="A36" t="s">
        <v>42</v>
      </c>
      <c r="B36" t="s">
        <v>62</v>
      </c>
      <c r="C36" t="s">
        <v>52</v>
      </c>
      <c r="D36" t="s">
        <v>68</v>
      </c>
    </row>
    <row r="37" spans="1:26" x14ac:dyDescent="0.25">
      <c r="A37" t="s">
        <v>63</v>
      </c>
      <c r="B37" t="s">
        <v>64</v>
      </c>
      <c r="C37" t="s">
        <v>75</v>
      </c>
      <c r="D37" t="s">
        <v>68</v>
      </c>
      <c r="E37" t="s">
        <v>83</v>
      </c>
    </row>
    <row r="38" spans="1:26" x14ac:dyDescent="0.25">
      <c r="A38" t="s">
        <v>42</v>
      </c>
      <c r="B38" t="s">
        <v>47</v>
      </c>
      <c r="C38" t="s">
        <v>49</v>
      </c>
      <c r="D38" t="s">
        <v>52</v>
      </c>
      <c r="E38" t="s">
        <v>66</v>
      </c>
      <c r="F38" t="s">
        <v>83</v>
      </c>
    </row>
    <row r="39" spans="1:26" x14ac:dyDescent="0.25">
      <c r="A39" t="s">
        <v>47</v>
      </c>
      <c r="B39" t="s">
        <v>63</v>
      </c>
      <c r="C39" t="s">
        <v>65</v>
      </c>
      <c r="D39" t="s">
        <v>52</v>
      </c>
    </row>
    <row r="40" spans="1:26" x14ac:dyDescent="0.25">
      <c r="A40" t="s">
        <v>47</v>
      </c>
      <c r="B40" t="s">
        <v>49</v>
      </c>
      <c r="C40" t="s">
        <v>63</v>
      </c>
      <c r="D40" t="s">
        <v>64</v>
      </c>
      <c r="E40" t="s">
        <v>52</v>
      </c>
    </row>
    <row r="41" spans="1:26" x14ac:dyDescent="0.25">
      <c r="A41" t="s">
        <v>44</v>
      </c>
      <c r="B41" t="s">
        <v>49</v>
      </c>
      <c r="C41" t="s">
        <v>87</v>
      </c>
    </row>
    <row r="42" spans="1:26" x14ac:dyDescent="0.25">
      <c r="A42" t="s">
        <v>38</v>
      </c>
      <c r="B42" t="s">
        <v>39</v>
      </c>
      <c r="C42" t="s">
        <v>40</v>
      </c>
      <c r="D42" t="s">
        <v>41</v>
      </c>
      <c r="E42" t="s">
        <v>42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62</v>
      </c>
      <c r="L42" t="s">
        <v>49</v>
      </c>
      <c r="M42" t="s">
        <v>51</v>
      </c>
      <c r="N42" t="s">
        <v>52</v>
      </c>
      <c r="O42" t="s">
        <v>66</v>
      </c>
      <c r="P42" t="s">
        <v>53</v>
      </c>
      <c r="Q42" t="s">
        <v>54</v>
      </c>
      <c r="R42" t="s">
        <v>55</v>
      </c>
      <c r="S42" t="s">
        <v>56</v>
      </c>
      <c r="T42" t="s">
        <v>73</v>
      </c>
      <c r="U42" t="s">
        <v>57</v>
      </c>
      <c r="V42" t="s">
        <v>58</v>
      </c>
      <c r="W42" t="s">
        <v>60</v>
      </c>
    </row>
    <row r="43" spans="1:26" x14ac:dyDescent="0.25">
      <c r="A43" t="s">
        <v>38</v>
      </c>
      <c r="B43" t="s">
        <v>39</v>
      </c>
      <c r="C43" t="s">
        <v>41</v>
      </c>
      <c r="D43" t="s">
        <v>43</v>
      </c>
      <c r="E43" t="s">
        <v>44</v>
      </c>
      <c r="F43" t="s">
        <v>45</v>
      </c>
      <c r="G43" t="s">
        <v>46</v>
      </c>
      <c r="H43" t="s">
        <v>47</v>
      </c>
      <c r="I43" t="s">
        <v>62</v>
      </c>
      <c r="J43" t="s">
        <v>49</v>
      </c>
      <c r="K43" t="s">
        <v>50</v>
      </c>
      <c r="L43" t="s">
        <v>51</v>
      </c>
      <c r="M43" t="s">
        <v>63</v>
      </c>
      <c r="N43" t="s">
        <v>65</v>
      </c>
      <c r="O43" t="s">
        <v>52</v>
      </c>
      <c r="P43" t="s">
        <v>53</v>
      </c>
      <c r="Q43" t="s">
        <v>54</v>
      </c>
      <c r="R43" t="s">
        <v>81</v>
      </c>
      <c r="S43" t="s">
        <v>55</v>
      </c>
      <c r="T43" t="s">
        <v>83</v>
      </c>
      <c r="U43" t="s">
        <v>56</v>
      </c>
      <c r="V43" t="s">
        <v>73</v>
      </c>
      <c r="W43" t="s">
        <v>58</v>
      </c>
      <c r="X43" t="s">
        <v>60</v>
      </c>
    </row>
    <row r="44" spans="1:26" x14ac:dyDescent="0.25">
      <c r="A44" t="s">
        <v>38</v>
      </c>
      <c r="B44" t="s">
        <v>39</v>
      </c>
      <c r="C44" t="s">
        <v>40</v>
      </c>
      <c r="D44" t="s">
        <v>61</v>
      </c>
      <c r="E44" t="s">
        <v>42</v>
      </c>
      <c r="F44" t="s">
        <v>44</v>
      </c>
      <c r="G44" t="s">
        <v>45</v>
      </c>
      <c r="H44" t="s">
        <v>90</v>
      </c>
      <c r="I44" t="s">
        <v>91</v>
      </c>
      <c r="J44" t="s">
        <v>46</v>
      </c>
      <c r="K44" t="s">
        <v>47</v>
      </c>
      <c r="L44" t="s">
        <v>48</v>
      </c>
      <c r="M44" t="s">
        <v>62</v>
      </c>
      <c r="N44" t="s">
        <v>49</v>
      </c>
      <c r="O44" t="s">
        <v>51</v>
      </c>
      <c r="P44" t="s">
        <v>52</v>
      </c>
      <c r="Q44" t="s">
        <v>66</v>
      </c>
      <c r="R44" t="s">
        <v>53</v>
      </c>
      <c r="S44" t="s">
        <v>54</v>
      </c>
      <c r="T44" t="s">
        <v>55</v>
      </c>
      <c r="U44" t="s">
        <v>56</v>
      </c>
      <c r="V44" t="s">
        <v>73</v>
      </c>
      <c r="W44" t="s">
        <v>57</v>
      </c>
      <c r="X44" t="s">
        <v>58</v>
      </c>
      <c r="Y44" t="s">
        <v>60</v>
      </c>
    </row>
    <row r="45" spans="1:26" x14ac:dyDescent="0.25">
      <c r="A45" t="s">
        <v>38</v>
      </c>
      <c r="B45" t="s">
        <v>39</v>
      </c>
      <c r="C45" t="s">
        <v>41</v>
      </c>
      <c r="D45" t="s">
        <v>61</v>
      </c>
      <c r="E45" t="s">
        <v>42</v>
      </c>
      <c r="F45" t="s">
        <v>44</v>
      </c>
      <c r="G45" t="s">
        <v>45</v>
      </c>
      <c r="H45" t="s">
        <v>46</v>
      </c>
      <c r="I45" t="s">
        <v>47</v>
      </c>
      <c r="J45" t="s">
        <v>48</v>
      </c>
      <c r="K45" t="s">
        <v>49</v>
      </c>
      <c r="L45" t="s">
        <v>50</v>
      </c>
      <c r="M45" t="s">
        <v>51</v>
      </c>
      <c r="N45" t="s">
        <v>63</v>
      </c>
      <c r="O45" t="s">
        <v>65</v>
      </c>
      <c r="P45" t="s">
        <v>53</v>
      </c>
      <c r="Q45" t="s">
        <v>54</v>
      </c>
      <c r="R45" t="s">
        <v>82</v>
      </c>
      <c r="S45" t="s">
        <v>55</v>
      </c>
      <c r="T45" t="s">
        <v>83</v>
      </c>
      <c r="U45" t="s">
        <v>56</v>
      </c>
      <c r="V45" t="s">
        <v>73</v>
      </c>
      <c r="W45" t="s">
        <v>58</v>
      </c>
      <c r="X45" t="s">
        <v>60</v>
      </c>
    </row>
    <row r="46" spans="1:26" x14ac:dyDescent="0.25">
      <c r="A46" t="s">
        <v>38</v>
      </c>
      <c r="B46" t="s">
        <v>39</v>
      </c>
      <c r="C46" t="s">
        <v>40</v>
      </c>
      <c r="D46" t="s">
        <v>41</v>
      </c>
      <c r="E46" t="s">
        <v>61</v>
      </c>
      <c r="F46" t="s">
        <v>42</v>
      </c>
      <c r="G46" t="s">
        <v>43</v>
      </c>
      <c r="H46" t="s">
        <v>44</v>
      </c>
      <c r="I46" t="s">
        <v>45</v>
      </c>
      <c r="J46" t="s">
        <v>76</v>
      </c>
      <c r="K46" t="s">
        <v>47</v>
      </c>
      <c r="L46" t="s">
        <v>62</v>
      </c>
      <c r="M46" t="s">
        <v>49</v>
      </c>
      <c r="N46" t="s">
        <v>50</v>
      </c>
      <c r="O46" t="s">
        <v>51</v>
      </c>
      <c r="P46" t="s">
        <v>52</v>
      </c>
      <c r="Q46" t="s">
        <v>66</v>
      </c>
      <c r="R46" t="s">
        <v>53</v>
      </c>
      <c r="S46" t="s">
        <v>54</v>
      </c>
      <c r="T46" t="s">
        <v>55</v>
      </c>
      <c r="U46" t="s">
        <v>83</v>
      </c>
      <c r="V46" t="s">
        <v>56</v>
      </c>
      <c r="W46" t="s">
        <v>73</v>
      </c>
      <c r="X46" t="s">
        <v>57</v>
      </c>
      <c r="Y46" t="s">
        <v>58</v>
      </c>
      <c r="Z46" t="s">
        <v>60</v>
      </c>
    </row>
    <row r="47" spans="1:26" x14ac:dyDescent="0.25">
      <c r="A47" t="s">
        <v>38</v>
      </c>
      <c r="B47" t="s">
        <v>39</v>
      </c>
      <c r="C47" t="s">
        <v>40</v>
      </c>
      <c r="D47" t="s">
        <v>61</v>
      </c>
      <c r="E47" t="s">
        <v>42</v>
      </c>
      <c r="F47" t="s">
        <v>43</v>
      </c>
      <c r="G47" t="s">
        <v>44</v>
      </c>
      <c r="H47" t="s">
        <v>45</v>
      </c>
      <c r="I47" t="s">
        <v>47</v>
      </c>
      <c r="J47" t="s">
        <v>62</v>
      </c>
      <c r="K47" t="s">
        <v>49</v>
      </c>
      <c r="L47" t="s">
        <v>50</v>
      </c>
      <c r="M47" t="s">
        <v>51</v>
      </c>
      <c r="N47" t="s">
        <v>52</v>
      </c>
      <c r="O47" t="s">
        <v>66</v>
      </c>
      <c r="P47" t="s">
        <v>53</v>
      </c>
      <c r="Q47" t="s">
        <v>54</v>
      </c>
      <c r="R47" t="s">
        <v>55</v>
      </c>
      <c r="S47" t="s">
        <v>56</v>
      </c>
      <c r="T47" t="s">
        <v>73</v>
      </c>
      <c r="U47" t="s">
        <v>57</v>
      </c>
      <c r="V47" t="s">
        <v>58</v>
      </c>
      <c r="W47" t="s">
        <v>74</v>
      </c>
      <c r="X47" t="s">
        <v>60</v>
      </c>
    </row>
    <row r="48" spans="1:26" x14ac:dyDescent="0.25">
      <c r="A48" t="s">
        <v>69</v>
      </c>
      <c r="B48" t="s">
        <v>39</v>
      </c>
      <c r="C48" t="s">
        <v>61</v>
      </c>
      <c r="D48" t="s">
        <v>43</v>
      </c>
      <c r="E48" t="s">
        <v>44</v>
      </c>
      <c r="F48" t="s">
        <v>70</v>
      </c>
      <c r="G48" t="s">
        <v>45</v>
      </c>
      <c r="H48" t="s">
        <v>76</v>
      </c>
      <c r="I48" t="s">
        <v>46</v>
      </c>
      <c r="J48" t="s">
        <v>47</v>
      </c>
      <c r="K48" t="s">
        <v>48</v>
      </c>
      <c r="L48" t="s">
        <v>72</v>
      </c>
      <c r="M48" t="s">
        <v>49</v>
      </c>
      <c r="N48" t="s">
        <v>50</v>
      </c>
      <c r="O48" t="s">
        <v>51</v>
      </c>
      <c r="P48" t="s">
        <v>66</v>
      </c>
      <c r="Q48" t="s">
        <v>53</v>
      </c>
      <c r="R48" t="s">
        <v>54</v>
      </c>
      <c r="S48" t="s">
        <v>56</v>
      </c>
      <c r="T48" t="s">
        <v>73</v>
      </c>
      <c r="U48" t="s">
        <v>57</v>
      </c>
      <c r="V48" t="s">
        <v>58</v>
      </c>
      <c r="W48" t="s">
        <v>74</v>
      </c>
      <c r="X48" t="s">
        <v>60</v>
      </c>
    </row>
    <row r="49" spans="1:25" x14ac:dyDescent="0.25">
      <c r="A49" t="s">
        <v>69</v>
      </c>
      <c r="B49" t="s">
        <v>39</v>
      </c>
      <c r="C49" t="s">
        <v>40</v>
      </c>
      <c r="D49" t="s">
        <v>42</v>
      </c>
      <c r="E49" t="s">
        <v>44</v>
      </c>
      <c r="F49" t="s">
        <v>45</v>
      </c>
      <c r="G49" t="s">
        <v>47</v>
      </c>
      <c r="H49" t="s">
        <v>62</v>
      </c>
      <c r="I49" t="s">
        <v>84</v>
      </c>
      <c r="J49" t="s">
        <v>49</v>
      </c>
      <c r="K49" t="s">
        <v>50</v>
      </c>
      <c r="L49" t="s">
        <v>51</v>
      </c>
      <c r="M49" t="s">
        <v>52</v>
      </c>
      <c r="N49" t="s">
        <v>66</v>
      </c>
      <c r="O49" t="s">
        <v>53</v>
      </c>
      <c r="P49" t="s">
        <v>54</v>
      </c>
      <c r="Q49" t="s">
        <v>55</v>
      </c>
      <c r="R49" t="s">
        <v>83</v>
      </c>
      <c r="S49" t="s">
        <v>56</v>
      </c>
      <c r="T49" t="s">
        <v>73</v>
      </c>
      <c r="U49" t="s">
        <v>57</v>
      </c>
      <c r="V49" t="s">
        <v>58</v>
      </c>
      <c r="W49" t="s">
        <v>74</v>
      </c>
      <c r="X49" t="s">
        <v>60</v>
      </c>
    </row>
    <row r="50" spans="1:25" x14ac:dyDescent="0.25">
      <c r="A50" t="s">
        <v>38</v>
      </c>
      <c r="B50" t="s">
        <v>39</v>
      </c>
      <c r="C50" t="s">
        <v>40</v>
      </c>
      <c r="D50" t="s">
        <v>61</v>
      </c>
      <c r="E50" t="s">
        <v>42</v>
      </c>
      <c r="F50" t="s">
        <v>44</v>
      </c>
      <c r="G50" t="s">
        <v>45</v>
      </c>
      <c r="H50" t="s">
        <v>91</v>
      </c>
      <c r="I50" t="s">
        <v>47</v>
      </c>
      <c r="J50" t="s">
        <v>48</v>
      </c>
      <c r="K50" t="s">
        <v>84</v>
      </c>
      <c r="L50" t="s">
        <v>49</v>
      </c>
      <c r="M50" t="s">
        <v>51</v>
      </c>
      <c r="N50" t="s">
        <v>52</v>
      </c>
      <c r="O50" t="s">
        <v>66</v>
      </c>
      <c r="P50" t="s">
        <v>53</v>
      </c>
      <c r="Q50" t="s">
        <v>54</v>
      </c>
      <c r="R50" t="s">
        <v>82</v>
      </c>
      <c r="S50" t="s">
        <v>55</v>
      </c>
      <c r="T50" t="s">
        <v>56</v>
      </c>
      <c r="U50" t="s">
        <v>73</v>
      </c>
      <c r="V50" t="s">
        <v>57</v>
      </c>
      <c r="W50" t="s">
        <v>58</v>
      </c>
      <c r="X50" t="s">
        <v>60</v>
      </c>
    </row>
    <row r="51" spans="1:25" x14ac:dyDescent="0.25">
      <c r="A51" t="s">
        <v>38</v>
      </c>
      <c r="B51" t="s">
        <v>39</v>
      </c>
      <c r="C51" t="s">
        <v>40</v>
      </c>
      <c r="D51" t="s">
        <v>61</v>
      </c>
      <c r="E51" t="s">
        <v>42</v>
      </c>
      <c r="F51" t="s">
        <v>44</v>
      </c>
      <c r="G51" t="s">
        <v>45</v>
      </c>
      <c r="H51" t="s">
        <v>91</v>
      </c>
      <c r="I51" t="s">
        <v>47</v>
      </c>
      <c r="J51" t="s">
        <v>62</v>
      </c>
      <c r="K51" t="s">
        <v>49</v>
      </c>
      <c r="L51" t="s">
        <v>51</v>
      </c>
      <c r="M51" t="s">
        <v>52</v>
      </c>
      <c r="N51" t="s">
        <v>66</v>
      </c>
      <c r="O51" t="s">
        <v>53</v>
      </c>
      <c r="P51" t="s">
        <v>67</v>
      </c>
      <c r="Q51" t="s">
        <v>80</v>
      </c>
      <c r="R51" t="s">
        <v>54</v>
      </c>
      <c r="S51" t="s">
        <v>55</v>
      </c>
      <c r="T51" t="s">
        <v>56</v>
      </c>
      <c r="U51" t="s">
        <v>73</v>
      </c>
      <c r="V51" t="s">
        <v>57</v>
      </c>
      <c r="W51" t="s">
        <v>58</v>
      </c>
      <c r="X51" t="s">
        <v>74</v>
      </c>
      <c r="Y51" t="s">
        <v>60</v>
      </c>
    </row>
    <row r="52" spans="1:25" x14ac:dyDescent="0.25">
      <c r="A52" t="s">
        <v>61</v>
      </c>
      <c r="B52" t="s">
        <v>90</v>
      </c>
      <c r="C52" t="s">
        <v>78</v>
      </c>
      <c r="D52" t="s">
        <v>91</v>
      </c>
      <c r="E52" t="s">
        <v>68</v>
      </c>
      <c r="F52" t="s">
        <v>59</v>
      </c>
      <c r="G52" t="s">
        <v>74</v>
      </c>
    </row>
    <row r="53" spans="1:25" x14ac:dyDescent="0.25">
      <c r="A53" t="s">
        <v>40</v>
      </c>
      <c r="B53" t="s">
        <v>42</v>
      </c>
      <c r="C53" t="s">
        <v>92</v>
      </c>
      <c r="D53" t="s">
        <v>66</v>
      </c>
      <c r="E53" t="s">
        <v>68</v>
      </c>
      <c r="F53" t="s">
        <v>57</v>
      </c>
    </row>
    <row r="54" spans="1:25" x14ac:dyDescent="0.25">
      <c r="A54" t="s">
        <v>78</v>
      </c>
      <c r="B54" t="s">
        <v>68</v>
      </c>
      <c r="C54" t="s">
        <v>80</v>
      </c>
      <c r="D54" t="s">
        <v>74</v>
      </c>
    </row>
    <row r="55" spans="1:25" x14ac:dyDescent="0.25">
      <c r="A55" t="s">
        <v>40</v>
      </c>
      <c r="B55" t="s">
        <v>90</v>
      </c>
      <c r="C55" t="s">
        <v>91</v>
      </c>
      <c r="D55" t="s">
        <v>52</v>
      </c>
      <c r="E55" t="s">
        <v>66</v>
      </c>
      <c r="F55" t="s">
        <v>68</v>
      </c>
    </row>
    <row r="56" spans="1:25" x14ac:dyDescent="0.25">
      <c r="A56" t="s">
        <v>65</v>
      </c>
      <c r="B56" t="s">
        <v>79</v>
      </c>
      <c r="C56" t="s">
        <v>68</v>
      </c>
      <c r="D56" t="s">
        <v>74</v>
      </c>
    </row>
    <row r="57" spans="1:25" x14ac:dyDescent="0.25">
      <c r="A57" t="s">
        <v>65</v>
      </c>
      <c r="B57" t="s">
        <v>68</v>
      </c>
      <c r="C57" t="s">
        <v>80</v>
      </c>
      <c r="D57" t="s">
        <v>59</v>
      </c>
    </row>
    <row r="58" spans="1:25" x14ac:dyDescent="0.25">
      <c r="A58" t="s">
        <v>42</v>
      </c>
      <c r="B58" t="s">
        <v>62</v>
      </c>
      <c r="C58" t="s">
        <v>52</v>
      </c>
      <c r="D58" t="s">
        <v>79</v>
      </c>
      <c r="E58" t="s">
        <v>68</v>
      </c>
    </row>
    <row r="59" spans="1:25" x14ac:dyDescent="0.25">
      <c r="A59" t="s">
        <v>77</v>
      </c>
      <c r="B59" t="s">
        <v>78</v>
      </c>
      <c r="C59" t="s">
        <v>65</v>
      </c>
      <c r="D59" t="s">
        <v>79</v>
      </c>
      <c r="E59" t="s">
        <v>68</v>
      </c>
      <c r="F59" t="s">
        <v>80</v>
      </c>
    </row>
    <row r="60" spans="1:25" x14ac:dyDescent="0.25">
      <c r="A60" t="s">
        <v>78</v>
      </c>
      <c r="B60" t="s">
        <v>62</v>
      </c>
      <c r="C60" t="s">
        <v>65</v>
      </c>
      <c r="D60" t="s">
        <v>68</v>
      </c>
    </row>
    <row r="61" spans="1:25" x14ac:dyDescent="0.25">
      <c r="A61" t="s">
        <v>90</v>
      </c>
      <c r="B61" t="s">
        <v>78</v>
      </c>
      <c r="C61" t="s">
        <v>65</v>
      </c>
      <c r="D61" t="s">
        <v>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F20D-D1E2-4013-95A7-A6C277FF61A4}">
  <dimension ref="A1:AF61"/>
  <sheetViews>
    <sheetView workbookViewId="0">
      <selection activeCell="E1" sqref="E1:E1048576"/>
    </sheetView>
  </sheetViews>
  <sheetFormatPr defaultRowHeight="15" x14ac:dyDescent="0.25"/>
  <cols>
    <col min="4" max="4" width="32.71093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2011</v>
      </c>
      <c r="B2" t="s">
        <v>32</v>
      </c>
      <c r="C2" t="s">
        <v>33</v>
      </c>
      <c r="D2" t="s">
        <v>34</v>
      </c>
      <c r="F2">
        <v>5</v>
      </c>
      <c r="G2">
        <v>5</v>
      </c>
      <c r="H2">
        <v>7</v>
      </c>
      <c r="I2">
        <v>8</v>
      </c>
      <c r="J2">
        <v>8</v>
      </c>
      <c r="K2">
        <v>10</v>
      </c>
      <c r="L2">
        <v>10</v>
      </c>
      <c r="M2">
        <v>10</v>
      </c>
      <c r="N2">
        <v>12</v>
      </c>
      <c r="O2">
        <v>12</v>
      </c>
      <c r="P2">
        <v>17</v>
      </c>
      <c r="Q2">
        <v>13</v>
      </c>
      <c r="R2">
        <v>13</v>
      </c>
      <c r="S2">
        <v>13</v>
      </c>
      <c r="T2">
        <v>5</v>
      </c>
      <c r="U2">
        <v>10</v>
      </c>
      <c r="V2">
        <v>13</v>
      </c>
      <c r="W2">
        <v>2</v>
      </c>
      <c r="X2">
        <v>5</v>
      </c>
      <c r="Y2">
        <v>8</v>
      </c>
      <c r="Z2">
        <v>10</v>
      </c>
      <c r="AA2">
        <v>12</v>
      </c>
      <c r="AB2">
        <v>13</v>
      </c>
    </row>
    <row r="3" spans="1:32" x14ac:dyDescent="0.25">
      <c r="A3">
        <v>2012</v>
      </c>
      <c r="B3" t="s">
        <v>32</v>
      </c>
      <c r="C3" t="s">
        <v>33</v>
      </c>
      <c r="D3" t="s">
        <v>34</v>
      </c>
      <c r="F3">
        <v>5</v>
      </c>
      <c r="G3">
        <v>5</v>
      </c>
      <c r="H3">
        <v>7</v>
      </c>
      <c r="I3">
        <v>8</v>
      </c>
      <c r="J3">
        <v>10</v>
      </c>
      <c r="K3">
        <v>10</v>
      </c>
      <c r="L3">
        <v>10</v>
      </c>
      <c r="M3">
        <v>10</v>
      </c>
      <c r="N3">
        <v>14</v>
      </c>
      <c r="O3">
        <v>12</v>
      </c>
      <c r="P3">
        <v>12</v>
      </c>
      <c r="Q3">
        <v>17</v>
      </c>
      <c r="R3">
        <v>17</v>
      </c>
      <c r="S3">
        <v>13</v>
      </c>
      <c r="T3">
        <v>13</v>
      </c>
      <c r="U3">
        <v>2</v>
      </c>
      <c r="V3">
        <v>5</v>
      </c>
      <c r="W3">
        <v>10</v>
      </c>
      <c r="X3">
        <v>13</v>
      </c>
      <c r="Y3">
        <v>2</v>
      </c>
      <c r="Z3">
        <v>5</v>
      </c>
      <c r="AA3">
        <v>7</v>
      </c>
      <c r="AB3">
        <v>8</v>
      </c>
      <c r="AC3">
        <v>10</v>
      </c>
      <c r="AD3">
        <v>17</v>
      </c>
      <c r="AE3">
        <v>13</v>
      </c>
    </row>
    <row r="4" spans="1:32" x14ac:dyDescent="0.25">
      <c r="A4">
        <v>2013</v>
      </c>
      <c r="B4" t="s">
        <v>32</v>
      </c>
      <c r="C4" t="s">
        <v>33</v>
      </c>
      <c r="D4" t="s">
        <v>34</v>
      </c>
      <c r="F4">
        <v>5</v>
      </c>
      <c r="G4">
        <v>5</v>
      </c>
      <c r="H4">
        <v>7</v>
      </c>
      <c r="I4">
        <v>8</v>
      </c>
      <c r="J4">
        <v>10</v>
      </c>
      <c r="K4">
        <v>10</v>
      </c>
      <c r="L4">
        <v>10</v>
      </c>
      <c r="M4">
        <v>10</v>
      </c>
      <c r="N4">
        <v>12</v>
      </c>
      <c r="O4">
        <v>12</v>
      </c>
      <c r="P4">
        <v>12</v>
      </c>
      <c r="Q4">
        <v>17</v>
      </c>
      <c r="R4">
        <v>17</v>
      </c>
      <c r="S4">
        <v>13</v>
      </c>
      <c r="T4">
        <v>13</v>
      </c>
      <c r="U4">
        <v>13</v>
      </c>
      <c r="V4">
        <v>5</v>
      </c>
      <c r="W4">
        <v>8</v>
      </c>
      <c r="X4">
        <v>10</v>
      </c>
      <c r="Y4">
        <v>13</v>
      </c>
      <c r="Z4">
        <v>5</v>
      </c>
      <c r="AA4">
        <v>7</v>
      </c>
      <c r="AB4">
        <v>8</v>
      </c>
      <c r="AC4">
        <v>10</v>
      </c>
      <c r="AD4">
        <v>13</v>
      </c>
    </row>
    <row r="5" spans="1:32" x14ac:dyDescent="0.25">
      <c r="A5">
        <v>2014</v>
      </c>
      <c r="B5" t="s">
        <v>32</v>
      </c>
      <c r="C5" t="s">
        <v>33</v>
      </c>
      <c r="D5" t="s">
        <v>34</v>
      </c>
      <c r="F5">
        <v>5</v>
      </c>
      <c r="G5">
        <v>8</v>
      </c>
      <c r="H5">
        <v>10</v>
      </c>
      <c r="I5">
        <v>10</v>
      </c>
      <c r="J5">
        <v>10</v>
      </c>
      <c r="K5">
        <v>12</v>
      </c>
      <c r="L5">
        <v>13</v>
      </c>
      <c r="M5">
        <v>13</v>
      </c>
      <c r="N5">
        <v>1</v>
      </c>
      <c r="O5">
        <v>2</v>
      </c>
      <c r="P5">
        <v>5</v>
      </c>
      <c r="Q5">
        <v>10</v>
      </c>
      <c r="R5">
        <v>13</v>
      </c>
      <c r="S5">
        <v>1</v>
      </c>
      <c r="T5">
        <v>3</v>
      </c>
      <c r="U5">
        <v>2</v>
      </c>
      <c r="V5">
        <v>4</v>
      </c>
      <c r="W5">
        <v>5</v>
      </c>
      <c r="X5">
        <v>7</v>
      </c>
      <c r="Y5">
        <v>8</v>
      </c>
      <c r="Z5">
        <v>10</v>
      </c>
      <c r="AA5">
        <v>12</v>
      </c>
      <c r="AB5">
        <v>17</v>
      </c>
      <c r="AC5">
        <v>13</v>
      </c>
    </row>
    <row r="6" spans="1:32" x14ac:dyDescent="0.25">
      <c r="A6">
        <v>2015</v>
      </c>
      <c r="B6" t="s">
        <v>32</v>
      </c>
      <c r="C6" t="s">
        <v>33</v>
      </c>
      <c r="D6" t="s">
        <v>34</v>
      </c>
      <c r="F6">
        <v>5</v>
      </c>
      <c r="G6">
        <v>5</v>
      </c>
      <c r="H6">
        <v>5</v>
      </c>
      <c r="I6">
        <v>7</v>
      </c>
      <c r="J6">
        <v>8</v>
      </c>
      <c r="K6">
        <v>10</v>
      </c>
      <c r="L6">
        <v>10</v>
      </c>
      <c r="M6">
        <v>10</v>
      </c>
      <c r="N6">
        <v>12</v>
      </c>
      <c r="O6">
        <v>12</v>
      </c>
      <c r="P6">
        <v>12</v>
      </c>
      <c r="Q6">
        <v>17</v>
      </c>
      <c r="R6">
        <v>17</v>
      </c>
      <c r="S6">
        <v>13</v>
      </c>
      <c r="T6">
        <v>13</v>
      </c>
      <c r="U6">
        <v>13</v>
      </c>
      <c r="V6">
        <v>7</v>
      </c>
      <c r="W6">
        <v>8</v>
      </c>
      <c r="X6">
        <v>10</v>
      </c>
      <c r="Y6">
        <v>13</v>
      </c>
      <c r="Z6">
        <v>5</v>
      </c>
      <c r="AA6">
        <v>7</v>
      </c>
      <c r="AB6">
        <v>8</v>
      </c>
      <c r="AC6">
        <v>10</v>
      </c>
      <c r="AD6">
        <v>13</v>
      </c>
    </row>
    <row r="7" spans="1:32" x14ac:dyDescent="0.25">
      <c r="A7">
        <v>2016</v>
      </c>
      <c r="B7" t="s">
        <v>32</v>
      </c>
      <c r="C7" t="s">
        <v>33</v>
      </c>
      <c r="D7" t="s">
        <v>34</v>
      </c>
      <c r="F7">
        <v>5</v>
      </c>
      <c r="G7">
        <v>5</v>
      </c>
      <c r="H7">
        <v>7</v>
      </c>
      <c r="I7">
        <v>8</v>
      </c>
      <c r="J7">
        <v>10</v>
      </c>
      <c r="K7">
        <v>10</v>
      </c>
      <c r="L7">
        <v>10</v>
      </c>
      <c r="M7">
        <v>10</v>
      </c>
      <c r="N7">
        <v>12</v>
      </c>
      <c r="O7">
        <v>17</v>
      </c>
      <c r="P7">
        <v>13</v>
      </c>
      <c r="Q7">
        <v>13</v>
      </c>
      <c r="R7">
        <v>2</v>
      </c>
      <c r="S7">
        <v>5</v>
      </c>
      <c r="T7">
        <v>10</v>
      </c>
      <c r="U7">
        <v>13</v>
      </c>
      <c r="V7">
        <v>2</v>
      </c>
      <c r="W7">
        <v>5</v>
      </c>
      <c r="X7">
        <v>7</v>
      </c>
      <c r="Y7">
        <v>8</v>
      </c>
      <c r="Z7">
        <v>10</v>
      </c>
      <c r="AA7">
        <v>12</v>
      </c>
      <c r="AB7">
        <v>17</v>
      </c>
      <c r="AC7">
        <v>13</v>
      </c>
    </row>
    <row r="8" spans="1:32" x14ac:dyDescent="0.25">
      <c r="A8">
        <v>2017</v>
      </c>
      <c r="B8" t="s">
        <v>32</v>
      </c>
      <c r="C8" t="s">
        <v>33</v>
      </c>
      <c r="D8" t="s">
        <v>34</v>
      </c>
      <c r="F8">
        <v>5</v>
      </c>
      <c r="G8">
        <v>5</v>
      </c>
      <c r="H8">
        <v>5</v>
      </c>
      <c r="I8">
        <v>7</v>
      </c>
      <c r="J8">
        <v>8</v>
      </c>
      <c r="K8">
        <v>10</v>
      </c>
      <c r="L8">
        <v>10</v>
      </c>
      <c r="M8">
        <v>10</v>
      </c>
      <c r="N8">
        <v>10</v>
      </c>
      <c r="O8">
        <v>12</v>
      </c>
      <c r="P8">
        <v>12</v>
      </c>
      <c r="Q8">
        <v>12</v>
      </c>
      <c r="R8">
        <v>17</v>
      </c>
      <c r="S8">
        <v>13</v>
      </c>
      <c r="T8">
        <v>13</v>
      </c>
      <c r="U8">
        <v>5</v>
      </c>
      <c r="V8">
        <v>10</v>
      </c>
      <c r="W8">
        <v>12</v>
      </c>
      <c r="X8">
        <v>13</v>
      </c>
      <c r="Y8">
        <v>2</v>
      </c>
      <c r="Z8">
        <v>5</v>
      </c>
      <c r="AA8">
        <v>8</v>
      </c>
      <c r="AB8">
        <v>10</v>
      </c>
      <c r="AC8">
        <v>17</v>
      </c>
      <c r="AD8">
        <v>13</v>
      </c>
    </row>
    <row r="9" spans="1:32" x14ac:dyDescent="0.25">
      <c r="A9">
        <v>2018</v>
      </c>
      <c r="B9" t="s">
        <v>32</v>
      </c>
      <c r="C9" t="s">
        <v>33</v>
      </c>
      <c r="D9" t="s">
        <v>34</v>
      </c>
      <c r="F9">
        <v>5</v>
      </c>
      <c r="G9">
        <v>5</v>
      </c>
      <c r="H9">
        <v>7</v>
      </c>
      <c r="I9">
        <v>8</v>
      </c>
      <c r="J9">
        <v>10</v>
      </c>
      <c r="K9">
        <v>10</v>
      </c>
      <c r="L9">
        <v>10</v>
      </c>
      <c r="M9">
        <v>10</v>
      </c>
      <c r="N9">
        <v>12</v>
      </c>
      <c r="O9">
        <v>12</v>
      </c>
      <c r="P9">
        <v>12</v>
      </c>
      <c r="Q9">
        <v>17</v>
      </c>
      <c r="R9">
        <v>13</v>
      </c>
      <c r="S9">
        <v>13</v>
      </c>
      <c r="T9">
        <v>13</v>
      </c>
      <c r="U9">
        <v>5</v>
      </c>
      <c r="V9">
        <v>8</v>
      </c>
      <c r="W9">
        <v>10</v>
      </c>
      <c r="X9">
        <v>12</v>
      </c>
      <c r="Y9">
        <v>13</v>
      </c>
      <c r="Z9">
        <v>2</v>
      </c>
      <c r="AA9">
        <v>5</v>
      </c>
      <c r="AB9">
        <v>8</v>
      </c>
      <c r="AC9">
        <v>10</v>
      </c>
      <c r="AD9">
        <v>17</v>
      </c>
      <c r="AE9">
        <v>13</v>
      </c>
    </row>
    <row r="10" spans="1:32" x14ac:dyDescent="0.25">
      <c r="A10">
        <v>2019</v>
      </c>
      <c r="B10" t="s">
        <v>32</v>
      </c>
      <c r="C10" t="s">
        <v>33</v>
      </c>
      <c r="D10" t="s">
        <v>34</v>
      </c>
      <c r="F10">
        <v>5</v>
      </c>
      <c r="G10">
        <v>5</v>
      </c>
      <c r="H10">
        <v>5</v>
      </c>
      <c r="I10">
        <v>7</v>
      </c>
      <c r="J10">
        <v>8</v>
      </c>
      <c r="K10">
        <v>8</v>
      </c>
      <c r="L10">
        <v>10</v>
      </c>
      <c r="M10">
        <v>10</v>
      </c>
      <c r="N10">
        <v>10</v>
      </c>
      <c r="O10">
        <v>10</v>
      </c>
      <c r="P10">
        <v>12</v>
      </c>
      <c r="Q10">
        <v>12</v>
      </c>
      <c r="R10">
        <v>12</v>
      </c>
      <c r="S10">
        <v>17</v>
      </c>
      <c r="T10">
        <v>13</v>
      </c>
      <c r="U10">
        <v>13</v>
      </c>
      <c r="V10">
        <v>13</v>
      </c>
      <c r="W10">
        <v>13</v>
      </c>
      <c r="X10">
        <v>5</v>
      </c>
      <c r="Y10">
        <v>8</v>
      </c>
      <c r="Z10">
        <v>10</v>
      </c>
      <c r="AA10">
        <v>12</v>
      </c>
      <c r="AB10">
        <v>13</v>
      </c>
      <c r="AC10">
        <v>2</v>
      </c>
      <c r="AD10">
        <v>5</v>
      </c>
      <c r="AE10">
        <v>8</v>
      </c>
      <c r="AF10">
        <v>10</v>
      </c>
    </row>
    <row r="11" spans="1:32" x14ac:dyDescent="0.25">
      <c r="A11">
        <v>2020</v>
      </c>
      <c r="B11" t="s">
        <v>32</v>
      </c>
      <c r="C11" t="s">
        <v>33</v>
      </c>
      <c r="D11" t="s">
        <v>34</v>
      </c>
      <c r="F11">
        <v>5</v>
      </c>
      <c r="G11">
        <v>5</v>
      </c>
      <c r="H11">
        <v>8</v>
      </c>
      <c r="I11">
        <v>10</v>
      </c>
      <c r="J11">
        <v>10</v>
      </c>
      <c r="K11">
        <v>10</v>
      </c>
      <c r="L11">
        <v>12</v>
      </c>
      <c r="M11">
        <v>17</v>
      </c>
      <c r="N11">
        <v>13</v>
      </c>
      <c r="O11">
        <v>13</v>
      </c>
      <c r="P11">
        <v>13</v>
      </c>
      <c r="Q11">
        <v>13</v>
      </c>
      <c r="R11">
        <v>2</v>
      </c>
      <c r="S11">
        <v>5</v>
      </c>
      <c r="T11">
        <v>8</v>
      </c>
      <c r="U11">
        <v>10</v>
      </c>
      <c r="V11">
        <v>12</v>
      </c>
      <c r="W11">
        <v>13</v>
      </c>
      <c r="X11">
        <v>2</v>
      </c>
      <c r="Y11">
        <v>4</v>
      </c>
      <c r="Z11">
        <v>5</v>
      </c>
      <c r="AA11">
        <v>8</v>
      </c>
      <c r="AB11">
        <v>10</v>
      </c>
      <c r="AC11">
        <v>17</v>
      </c>
      <c r="AD11">
        <v>13</v>
      </c>
    </row>
    <row r="12" spans="1:32" x14ac:dyDescent="0.25">
      <c r="A12">
        <v>2011</v>
      </c>
      <c r="B12" t="s">
        <v>32</v>
      </c>
      <c r="C12" t="s">
        <v>33</v>
      </c>
      <c r="D12" t="s">
        <v>35</v>
      </c>
      <c r="F12">
        <v>8</v>
      </c>
      <c r="G12">
        <v>17</v>
      </c>
      <c r="H12">
        <v>1</v>
      </c>
      <c r="I12">
        <v>3</v>
      </c>
      <c r="J12">
        <v>2</v>
      </c>
      <c r="K12">
        <v>8</v>
      </c>
      <c r="L12">
        <v>10</v>
      </c>
      <c r="M12">
        <v>12</v>
      </c>
    </row>
    <row r="13" spans="1:32" x14ac:dyDescent="0.25">
      <c r="A13">
        <v>2012</v>
      </c>
      <c r="B13" t="s">
        <v>32</v>
      </c>
      <c r="C13" t="s">
        <v>33</v>
      </c>
      <c r="D13" t="s">
        <v>35</v>
      </c>
      <c r="F13">
        <v>1</v>
      </c>
      <c r="G13">
        <v>3</v>
      </c>
      <c r="H13">
        <v>4</v>
      </c>
      <c r="I13">
        <v>8</v>
      </c>
      <c r="J13">
        <v>10</v>
      </c>
      <c r="K13">
        <v>12</v>
      </c>
    </row>
    <row r="14" spans="1:32" x14ac:dyDescent="0.25">
      <c r="A14">
        <v>2013</v>
      </c>
      <c r="B14" t="s">
        <v>32</v>
      </c>
      <c r="C14" t="s">
        <v>33</v>
      </c>
      <c r="D14" t="s">
        <v>35</v>
      </c>
      <c r="F14">
        <v>1</v>
      </c>
      <c r="G14">
        <v>14</v>
      </c>
      <c r="H14">
        <v>3</v>
      </c>
      <c r="I14">
        <v>2</v>
      </c>
      <c r="J14">
        <v>7</v>
      </c>
      <c r="K14">
        <v>12</v>
      </c>
      <c r="L14">
        <v>17</v>
      </c>
    </row>
    <row r="15" spans="1:32" x14ac:dyDescent="0.25">
      <c r="A15">
        <v>2014</v>
      </c>
      <c r="B15" t="s">
        <v>32</v>
      </c>
      <c r="C15" t="s">
        <v>33</v>
      </c>
      <c r="D15" t="s">
        <v>35</v>
      </c>
      <c r="F15">
        <v>7</v>
      </c>
      <c r="G15">
        <v>13</v>
      </c>
      <c r="H15">
        <v>3</v>
      </c>
      <c r="I15">
        <v>4</v>
      </c>
      <c r="J15">
        <v>7</v>
      </c>
      <c r="K15">
        <v>8</v>
      </c>
      <c r="L15">
        <v>12</v>
      </c>
      <c r="M15">
        <v>17</v>
      </c>
    </row>
    <row r="16" spans="1:32" x14ac:dyDescent="0.25">
      <c r="A16">
        <v>2015</v>
      </c>
      <c r="B16" t="s">
        <v>32</v>
      </c>
      <c r="C16" t="s">
        <v>33</v>
      </c>
      <c r="D16" t="s">
        <v>35</v>
      </c>
      <c r="F16">
        <v>10</v>
      </c>
      <c r="G16">
        <v>1</v>
      </c>
      <c r="H16">
        <v>3</v>
      </c>
      <c r="I16">
        <v>2</v>
      </c>
      <c r="J16">
        <v>4</v>
      </c>
      <c r="K16">
        <v>5</v>
      </c>
      <c r="L16">
        <v>12</v>
      </c>
    </row>
    <row r="17" spans="1:32" x14ac:dyDescent="0.25">
      <c r="A17">
        <v>2016</v>
      </c>
      <c r="B17" t="s">
        <v>32</v>
      </c>
      <c r="C17" t="s">
        <v>33</v>
      </c>
      <c r="D17" t="s">
        <v>35</v>
      </c>
      <c r="F17">
        <v>17</v>
      </c>
      <c r="G17">
        <v>1</v>
      </c>
      <c r="H17">
        <v>3</v>
      </c>
      <c r="I17">
        <v>4</v>
      </c>
      <c r="J17">
        <v>7</v>
      </c>
      <c r="K17">
        <v>8</v>
      </c>
      <c r="L17">
        <v>12</v>
      </c>
      <c r="M17">
        <v>17</v>
      </c>
    </row>
    <row r="18" spans="1:32" x14ac:dyDescent="0.25">
      <c r="A18">
        <v>2017</v>
      </c>
      <c r="B18" t="s">
        <v>32</v>
      </c>
      <c r="C18" t="s">
        <v>33</v>
      </c>
      <c r="D18" t="s">
        <v>35</v>
      </c>
      <c r="F18">
        <v>13</v>
      </c>
      <c r="G18">
        <v>1</v>
      </c>
      <c r="H18">
        <v>3</v>
      </c>
      <c r="I18">
        <v>2</v>
      </c>
      <c r="J18">
        <v>4</v>
      </c>
      <c r="K18">
        <v>7</v>
      </c>
      <c r="L18">
        <v>8</v>
      </c>
      <c r="M18">
        <v>17</v>
      </c>
    </row>
    <row r="19" spans="1:32" x14ac:dyDescent="0.25">
      <c r="A19">
        <v>2018</v>
      </c>
      <c r="B19" t="s">
        <v>32</v>
      </c>
      <c r="C19" t="s">
        <v>33</v>
      </c>
      <c r="D19" t="s">
        <v>35</v>
      </c>
      <c r="F19">
        <v>1</v>
      </c>
      <c r="G19">
        <v>3</v>
      </c>
      <c r="H19">
        <v>2</v>
      </c>
      <c r="I19">
        <v>4</v>
      </c>
      <c r="J19">
        <v>7</v>
      </c>
      <c r="K19">
        <v>17</v>
      </c>
      <c r="L19">
        <v>7</v>
      </c>
    </row>
    <row r="20" spans="1:32" x14ac:dyDescent="0.25">
      <c r="A20">
        <v>2019</v>
      </c>
      <c r="B20" t="s">
        <v>32</v>
      </c>
      <c r="C20" t="s">
        <v>33</v>
      </c>
      <c r="D20" t="s">
        <v>35</v>
      </c>
      <c r="F20">
        <v>17</v>
      </c>
      <c r="G20">
        <v>2</v>
      </c>
      <c r="H20">
        <v>7</v>
      </c>
      <c r="I20">
        <v>10</v>
      </c>
      <c r="J20">
        <v>17</v>
      </c>
      <c r="K20">
        <v>7</v>
      </c>
    </row>
    <row r="21" spans="1:32" x14ac:dyDescent="0.25">
      <c r="A21">
        <v>2020</v>
      </c>
      <c r="B21" t="s">
        <v>32</v>
      </c>
      <c r="C21" t="s">
        <v>33</v>
      </c>
      <c r="D21" t="s">
        <v>35</v>
      </c>
      <c r="F21">
        <v>7</v>
      </c>
      <c r="G21">
        <v>8</v>
      </c>
      <c r="H21">
        <v>1</v>
      </c>
      <c r="I21">
        <v>3</v>
      </c>
      <c r="J21">
        <v>4</v>
      </c>
      <c r="K21">
        <v>10</v>
      </c>
      <c r="L21">
        <v>17</v>
      </c>
    </row>
    <row r="22" spans="1:32" x14ac:dyDescent="0.25">
      <c r="A22">
        <v>2011</v>
      </c>
      <c r="B22" t="s">
        <v>36</v>
      </c>
      <c r="C22" t="s">
        <v>33</v>
      </c>
      <c r="D22" t="s">
        <v>34</v>
      </c>
      <c r="F22">
        <v>5</v>
      </c>
      <c r="G22">
        <v>5</v>
      </c>
      <c r="H22">
        <v>10</v>
      </c>
      <c r="I22">
        <v>10</v>
      </c>
      <c r="J22">
        <v>10</v>
      </c>
      <c r="K22">
        <v>13</v>
      </c>
      <c r="L22">
        <v>13</v>
      </c>
      <c r="M22">
        <v>13</v>
      </c>
      <c r="N22">
        <v>2</v>
      </c>
      <c r="O22">
        <v>5</v>
      </c>
      <c r="P22">
        <v>7</v>
      </c>
      <c r="Q22">
        <v>8</v>
      </c>
      <c r="R22">
        <v>10</v>
      </c>
      <c r="S22">
        <v>10</v>
      </c>
      <c r="T22">
        <v>12</v>
      </c>
      <c r="U22">
        <v>17</v>
      </c>
      <c r="V22">
        <v>13</v>
      </c>
      <c r="W22">
        <v>13</v>
      </c>
      <c r="X22">
        <v>2</v>
      </c>
      <c r="Y22">
        <v>5</v>
      </c>
      <c r="Z22">
        <v>7</v>
      </c>
      <c r="AA22">
        <v>8</v>
      </c>
      <c r="AB22">
        <v>10</v>
      </c>
      <c r="AC22">
        <v>14</v>
      </c>
      <c r="AD22">
        <v>12</v>
      </c>
      <c r="AE22">
        <v>17</v>
      </c>
      <c r="AF22">
        <v>13</v>
      </c>
    </row>
    <row r="23" spans="1:32" x14ac:dyDescent="0.25">
      <c r="A23">
        <v>2012</v>
      </c>
      <c r="B23" t="s">
        <v>36</v>
      </c>
      <c r="C23" t="s">
        <v>33</v>
      </c>
      <c r="D23" t="s">
        <v>34</v>
      </c>
      <c r="F23">
        <v>5</v>
      </c>
      <c r="G23">
        <v>10</v>
      </c>
      <c r="H23">
        <v>10</v>
      </c>
      <c r="I23">
        <v>10</v>
      </c>
      <c r="J23">
        <v>10</v>
      </c>
      <c r="K23">
        <v>13</v>
      </c>
      <c r="L23">
        <v>13</v>
      </c>
      <c r="M23">
        <v>2</v>
      </c>
      <c r="N23">
        <v>5</v>
      </c>
      <c r="O23">
        <v>8</v>
      </c>
      <c r="P23">
        <v>10</v>
      </c>
      <c r="Q23">
        <v>10</v>
      </c>
      <c r="R23">
        <v>13</v>
      </c>
      <c r="S23">
        <v>1</v>
      </c>
      <c r="T23">
        <v>5</v>
      </c>
      <c r="U23">
        <v>7</v>
      </c>
      <c r="V23">
        <v>8</v>
      </c>
      <c r="W23">
        <v>10</v>
      </c>
      <c r="X23">
        <v>14</v>
      </c>
      <c r="Y23">
        <v>12</v>
      </c>
      <c r="Z23">
        <v>17</v>
      </c>
      <c r="AA23">
        <v>13</v>
      </c>
    </row>
    <row r="24" spans="1:32" x14ac:dyDescent="0.25">
      <c r="A24">
        <v>2013</v>
      </c>
      <c r="B24" t="s">
        <v>36</v>
      </c>
      <c r="C24" t="s">
        <v>33</v>
      </c>
      <c r="D24" t="s">
        <v>34</v>
      </c>
      <c r="F24">
        <v>5</v>
      </c>
      <c r="G24">
        <v>5</v>
      </c>
      <c r="H24">
        <v>5</v>
      </c>
      <c r="I24">
        <v>8</v>
      </c>
      <c r="J24">
        <v>10</v>
      </c>
      <c r="K24">
        <v>10</v>
      </c>
      <c r="L24">
        <v>10</v>
      </c>
      <c r="M24">
        <v>10</v>
      </c>
      <c r="N24">
        <v>12</v>
      </c>
      <c r="O24">
        <v>12</v>
      </c>
      <c r="P24">
        <v>12</v>
      </c>
      <c r="Q24">
        <v>17</v>
      </c>
      <c r="R24">
        <v>13</v>
      </c>
      <c r="S24">
        <v>13</v>
      </c>
      <c r="T24">
        <v>3</v>
      </c>
      <c r="U24">
        <v>5</v>
      </c>
      <c r="V24">
        <v>10</v>
      </c>
      <c r="W24">
        <v>13</v>
      </c>
      <c r="X24">
        <v>3</v>
      </c>
      <c r="Y24">
        <v>2</v>
      </c>
      <c r="Z24">
        <v>4</v>
      </c>
      <c r="AA24">
        <v>8</v>
      </c>
      <c r="AB24">
        <v>10</v>
      </c>
      <c r="AC24">
        <v>12</v>
      </c>
      <c r="AD24">
        <v>13</v>
      </c>
    </row>
    <row r="25" spans="1:32" x14ac:dyDescent="0.25">
      <c r="A25">
        <v>2014</v>
      </c>
      <c r="B25" t="s">
        <v>36</v>
      </c>
      <c r="C25" t="s">
        <v>33</v>
      </c>
      <c r="D25" t="s">
        <v>34</v>
      </c>
      <c r="F25">
        <v>5</v>
      </c>
      <c r="G25">
        <v>5</v>
      </c>
      <c r="H25">
        <v>10</v>
      </c>
      <c r="I25">
        <v>10</v>
      </c>
      <c r="J25">
        <v>13</v>
      </c>
      <c r="K25">
        <v>13</v>
      </c>
      <c r="L25">
        <v>7</v>
      </c>
      <c r="M25">
        <v>8</v>
      </c>
      <c r="N25">
        <v>8</v>
      </c>
      <c r="O25">
        <v>10</v>
      </c>
      <c r="P25">
        <v>10</v>
      </c>
      <c r="Q25">
        <v>14</v>
      </c>
      <c r="R25">
        <v>12</v>
      </c>
      <c r="S25">
        <v>17</v>
      </c>
      <c r="T25">
        <v>13</v>
      </c>
      <c r="U25">
        <v>1</v>
      </c>
      <c r="V25">
        <v>3</v>
      </c>
      <c r="W25">
        <v>2</v>
      </c>
      <c r="X25">
        <v>4</v>
      </c>
      <c r="Y25">
        <v>5</v>
      </c>
      <c r="Z25">
        <v>7</v>
      </c>
      <c r="AA25">
        <v>8</v>
      </c>
      <c r="AB25">
        <v>10</v>
      </c>
      <c r="AC25">
        <v>14</v>
      </c>
      <c r="AD25">
        <v>12</v>
      </c>
      <c r="AE25">
        <v>17</v>
      </c>
      <c r="AF25">
        <v>13</v>
      </c>
    </row>
    <row r="26" spans="1:32" x14ac:dyDescent="0.25">
      <c r="A26">
        <v>2015</v>
      </c>
      <c r="B26" t="s">
        <v>36</v>
      </c>
      <c r="C26" t="s">
        <v>33</v>
      </c>
      <c r="D26" t="s">
        <v>34</v>
      </c>
      <c r="F26">
        <v>5</v>
      </c>
      <c r="G26">
        <v>5</v>
      </c>
      <c r="H26">
        <v>5</v>
      </c>
      <c r="I26">
        <v>7</v>
      </c>
      <c r="J26">
        <v>10</v>
      </c>
      <c r="K26">
        <v>10</v>
      </c>
      <c r="L26">
        <v>10</v>
      </c>
      <c r="M26">
        <v>10</v>
      </c>
      <c r="N26">
        <v>12</v>
      </c>
      <c r="O26">
        <v>17</v>
      </c>
      <c r="P26">
        <v>13</v>
      </c>
      <c r="Q26">
        <v>13</v>
      </c>
      <c r="R26">
        <v>13</v>
      </c>
      <c r="S26">
        <v>7</v>
      </c>
      <c r="T26">
        <v>8</v>
      </c>
      <c r="U26">
        <v>10</v>
      </c>
      <c r="V26">
        <v>13</v>
      </c>
      <c r="W26">
        <v>5</v>
      </c>
      <c r="X26">
        <v>7</v>
      </c>
      <c r="Y26">
        <v>8</v>
      </c>
      <c r="Z26">
        <v>10</v>
      </c>
      <c r="AA26">
        <v>14</v>
      </c>
      <c r="AB26">
        <v>12</v>
      </c>
      <c r="AC26">
        <v>17</v>
      </c>
      <c r="AD26">
        <v>13</v>
      </c>
    </row>
    <row r="27" spans="1:32" x14ac:dyDescent="0.25">
      <c r="A27">
        <v>2016</v>
      </c>
      <c r="B27" t="s">
        <v>36</v>
      </c>
      <c r="C27" t="s">
        <v>33</v>
      </c>
      <c r="D27" t="s">
        <v>34</v>
      </c>
      <c r="F27">
        <v>5</v>
      </c>
      <c r="G27">
        <v>10</v>
      </c>
      <c r="H27">
        <v>10</v>
      </c>
      <c r="I27">
        <v>10</v>
      </c>
      <c r="J27">
        <v>13</v>
      </c>
      <c r="K27">
        <v>2</v>
      </c>
      <c r="L27">
        <v>5</v>
      </c>
      <c r="M27">
        <v>7</v>
      </c>
      <c r="N27">
        <v>8</v>
      </c>
      <c r="O27">
        <v>10</v>
      </c>
      <c r="P27">
        <v>17</v>
      </c>
      <c r="Q27">
        <v>13</v>
      </c>
      <c r="R27">
        <v>1</v>
      </c>
      <c r="S27">
        <v>3</v>
      </c>
      <c r="T27">
        <v>2</v>
      </c>
      <c r="U27">
        <v>5</v>
      </c>
      <c r="V27">
        <v>7</v>
      </c>
      <c r="W27">
        <v>8</v>
      </c>
      <c r="X27">
        <v>10</v>
      </c>
      <c r="Y27">
        <v>14</v>
      </c>
      <c r="Z27">
        <v>12</v>
      </c>
      <c r="AA27">
        <v>17</v>
      </c>
      <c r="AB27">
        <v>13</v>
      </c>
    </row>
    <row r="28" spans="1:32" x14ac:dyDescent="0.25">
      <c r="A28">
        <v>2017</v>
      </c>
      <c r="B28" t="s">
        <v>36</v>
      </c>
      <c r="C28" t="s">
        <v>33</v>
      </c>
      <c r="D28" t="s">
        <v>34</v>
      </c>
      <c r="F28">
        <v>5</v>
      </c>
      <c r="G28">
        <v>5</v>
      </c>
      <c r="H28">
        <v>10</v>
      </c>
      <c r="I28">
        <v>10</v>
      </c>
      <c r="J28">
        <v>10</v>
      </c>
      <c r="K28">
        <v>10</v>
      </c>
      <c r="L28">
        <v>17</v>
      </c>
      <c r="M28">
        <v>13</v>
      </c>
      <c r="N28">
        <v>13</v>
      </c>
      <c r="O28">
        <v>10</v>
      </c>
      <c r="P28">
        <v>12</v>
      </c>
      <c r="Q28">
        <v>13</v>
      </c>
      <c r="R28">
        <v>1</v>
      </c>
      <c r="S28">
        <v>3</v>
      </c>
      <c r="T28">
        <v>2</v>
      </c>
      <c r="U28">
        <v>5</v>
      </c>
      <c r="V28">
        <v>7</v>
      </c>
      <c r="W28">
        <v>8</v>
      </c>
      <c r="X28">
        <v>10</v>
      </c>
      <c r="Y28">
        <v>14</v>
      </c>
      <c r="Z28">
        <v>12</v>
      </c>
      <c r="AA28">
        <v>17</v>
      </c>
      <c r="AB28">
        <v>13</v>
      </c>
    </row>
    <row r="29" spans="1:32" x14ac:dyDescent="0.25">
      <c r="A29">
        <v>2018</v>
      </c>
      <c r="B29" t="s">
        <v>36</v>
      </c>
      <c r="C29" t="s">
        <v>33</v>
      </c>
      <c r="D29" t="s">
        <v>34</v>
      </c>
      <c r="F29">
        <v>5</v>
      </c>
      <c r="G29">
        <v>5</v>
      </c>
      <c r="H29">
        <v>10</v>
      </c>
      <c r="I29">
        <v>10</v>
      </c>
      <c r="J29">
        <v>10</v>
      </c>
      <c r="K29">
        <v>12</v>
      </c>
      <c r="L29">
        <v>12</v>
      </c>
      <c r="M29">
        <v>17</v>
      </c>
      <c r="N29">
        <v>13</v>
      </c>
      <c r="O29">
        <v>13</v>
      </c>
      <c r="P29">
        <v>8</v>
      </c>
      <c r="Q29">
        <v>10</v>
      </c>
      <c r="R29">
        <v>10</v>
      </c>
      <c r="S29">
        <v>12</v>
      </c>
      <c r="T29">
        <v>13</v>
      </c>
      <c r="U29">
        <v>2</v>
      </c>
      <c r="V29">
        <v>5</v>
      </c>
      <c r="W29">
        <v>7</v>
      </c>
      <c r="X29">
        <v>8</v>
      </c>
      <c r="Y29">
        <v>10</v>
      </c>
      <c r="Z29">
        <v>14</v>
      </c>
      <c r="AA29">
        <v>12</v>
      </c>
      <c r="AB29">
        <v>17</v>
      </c>
      <c r="AC29">
        <v>13</v>
      </c>
    </row>
    <row r="30" spans="1:32" x14ac:dyDescent="0.25">
      <c r="A30">
        <v>2019</v>
      </c>
      <c r="B30" t="s">
        <v>36</v>
      </c>
      <c r="C30" t="s">
        <v>33</v>
      </c>
      <c r="D30" t="s">
        <v>34</v>
      </c>
      <c r="F30">
        <v>5</v>
      </c>
      <c r="G30">
        <v>5</v>
      </c>
      <c r="H30">
        <v>10</v>
      </c>
      <c r="I30">
        <v>10</v>
      </c>
      <c r="J30">
        <v>10</v>
      </c>
      <c r="K30">
        <v>13</v>
      </c>
      <c r="L30">
        <v>13</v>
      </c>
      <c r="M30">
        <v>13</v>
      </c>
      <c r="N30">
        <v>2</v>
      </c>
      <c r="O30">
        <v>8</v>
      </c>
      <c r="P30">
        <v>10</v>
      </c>
      <c r="Q30">
        <v>10</v>
      </c>
      <c r="R30">
        <v>12</v>
      </c>
      <c r="S30">
        <v>17</v>
      </c>
      <c r="T30">
        <v>13</v>
      </c>
      <c r="U30">
        <v>13</v>
      </c>
      <c r="V30">
        <v>2</v>
      </c>
      <c r="W30">
        <v>4</v>
      </c>
      <c r="X30">
        <v>5</v>
      </c>
      <c r="Y30">
        <v>7</v>
      </c>
      <c r="Z30">
        <v>8</v>
      </c>
      <c r="AA30">
        <v>10</v>
      </c>
      <c r="AB30">
        <v>14</v>
      </c>
      <c r="AC30">
        <v>12</v>
      </c>
      <c r="AD30">
        <v>17</v>
      </c>
      <c r="AE30">
        <v>13</v>
      </c>
    </row>
    <row r="31" spans="1:32" x14ac:dyDescent="0.25">
      <c r="A31">
        <v>2020</v>
      </c>
      <c r="B31" t="s">
        <v>36</v>
      </c>
      <c r="C31" t="s">
        <v>33</v>
      </c>
      <c r="D31" t="s">
        <v>34</v>
      </c>
      <c r="F31">
        <v>5</v>
      </c>
      <c r="G31">
        <v>5</v>
      </c>
      <c r="H31">
        <v>10</v>
      </c>
      <c r="I31">
        <v>10</v>
      </c>
      <c r="J31">
        <v>13</v>
      </c>
      <c r="K31">
        <v>2</v>
      </c>
      <c r="L31">
        <v>5</v>
      </c>
      <c r="M31">
        <v>7</v>
      </c>
      <c r="N31">
        <v>8</v>
      </c>
      <c r="O31">
        <v>10</v>
      </c>
      <c r="P31">
        <v>10</v>
      </c>
      <c r="Q31">
        <v>12</v>
      </c>
      <c r="R31">
        <v>17</v>
      </c>
      <c r="S31">
        <v>17</v>
      </c>
      <c r="T31">
        <v>13</v>
      </c>
      <c r="U31">
        <v>13</v>
      </c>
      <c r="V31">
        <v>2</v>
      </c>
      <c r="W31">
        <v>5</v>
      </c>
      <c r="X31">
        <v>7</v>
      </c>
      <c r="Y31">
        <v>8</v>
      </c>
      <c r="Z31">
        <v>10</v>
      </c>
      <c r="AA31">
        <v>14</v>
      </c>
      <c r="AB31">
        <v>12</v>
      </c>
      <c r="AC31">
        <v>17</v>
      </c>
      <c r="AD31">
        <v>13</v>
      </c>
    </row>
    <row r="32" spans="1:32" x14ac:dyDescent="0.25">
      <c r="A32">
        <v>2011</v>
      </c>
      <c r="B32" t="s">
        <v>36</v>
      </c>
      <c r="C32" t="s">
        <v>33</v>
      </c>
      <c r="D32" t="s">
        <v>35</v>
      </c>
      <c r="F32">
        <v>1</v>
      </c>
      <c r="G32">
        <v>3</v>
      </c>
      <c r="H32">
        <v>4</v>
      </c>
      <c r="I32">
        <v>14</v>
      </c>
    </row>
    <row r="33" spans="1:31" x14ac:dyDescent="0.25">
      <c r="A33">
        <v>2012</v>
      </c>
      <c r="B33" t="s">
        <v>36</v>
      </c>
      <c r="C33" t="s">
        <v>33</v>
      </c>
      <c r="D33" t="s">
        <v>35</v>
      </c>
      <c r="F33">
        <v>5</v>
      </c>
      <c r="G33">
        <v>1</v>
      </c>
      <c r="H33">
        <v>12</v>
      </c>
      <c r="I33">
        <v>17</v>
      </c>
      <c r="J33">
        <v>3</v>
      </c>
      <c r="K33">
        <v>2</v>
      </c>
      <c r="L33">
        <v>4</v>
      </c>
    </row>
    <row r="34" spans="1:31" x14ac:dyDescent="0.25">
      <c r="A34">
        <v>2013</v>
      </c>
      <c r="B34" t="s">
        <v>36</v>
      </c>
      <c r="C34" t="s">
        <v>33</v>
      </c>
      <c r="D34" t="s">
        <v>35</v>
      </c>
      <c r="F34">
        <v>13</v>
      </c>
      <c r="G34">
        <v>2</v>
      </c>
      <c r="H34">
        <v>8</v>
      </c>
      <c r="I34">
        <v>12</v>
      </c>
      <c r="J34">
        <v>7</v>
      </c>
    </row>
    <row r="35" spans="1:31" x14ac:dyDescent="0.25">
      <c r="A35">
        <v>2014</v>
      </c>
      <c r="B35" t="s">
        <v>36</v>
      </c>
      <c r="C35" t="s">
        <v>33</v>
      </c>
      <c r="D35" t="s">
        <v>35</v>
      </c>
      <c r="F35">
        <v>13</v>
      </c>
      <c r="G35">
        <v>5</v>
      </c>
    </row>
    <row r="36" spans="1:31" x14ac:dyDescent="0.25">
      <c r="A36">
        <v>2015</v>
      </c>
      <c r="B36" t="s">
        <v>36</v>
      </c>
      <c r="C36" t="s">
        <v>33</v>
      </c>
      <c r="D36" t="s">
        <v>35</v>
      </c>
      <c r="F36">
        <v>8</v>
      </c>
      <c r="G36">
        <v>17</v>
      </c>
      <c r="H36">
        <v>5</v>
      </c>
      <c r="I36">
        <v>12</v>
      </c>
    </row>
    <row r="37" spans="1:31" x14ac:dyDescent="0.25">
      <c r="A37">
        <v>2016</v>
      </c>
      <c r="B37" t="s">
        <v>36</v>
      </c>
      <c r="C37" t="s">
        <v>33</v>
      </c>
      <c r="D37" t="s">
        <v>35</v>
      </c>
      <c r="F37">
        <v>1</v>
      </c>
      <c r="G37">
        <v>3</v>
      </c>
      <c r="H37">
        <v>4</v>
      </c>
      <c r="I37">
        <v>12</v>
      </c>
      <c r="J37">
        <v>4</v>
      </c>
    </row>
    <row r="38" spans="1:31" x14ac:dyDescent="0.25">
      <c r="A38">
        <v>2017</v>
      </c>
      <c r="B38" t="s">
        <v>36</v>
      </c>
      <c r="C38" t="s">
        <v>33</v>
      </c>
      <c r="D38" t="s">
        <v>35</v>
      </c>
      <c r="F38">
        <v>8</v>
      </c>
      <c r="G38">
        <v>12</v>
      </c>
      <c r="H38">
        <v>13</v>
      </c>
      <c r="I38">
        <v>5</v>
      </c>
      <c r="J38">
        <v>8</v>
      </c>
      <c r="K38">
        <v>4</v>
      </c>
    </row>
    <row r="39" spans="1:31" x14ac:dyDescent="0.25">
      <c r="A39">
        <v>2018</v>
      </c>
      <c r="B39" t="s">
        <v>36</v>
      </c>
      <c r="C39" t="s">
        <v>33</v>
      </c>
      <c r="D39" t="s">
        <v>35</v>
      </c>
      <c r="F39">
        <v>12</v>
      </c>
      <c r="G39">
        <v>1</v>
      </c>
      <c r="H39">
        <v>2</v>
      </c>
      <c r="I39">
        <v>5</v>
      </c>
    </row>
    <row r="40" spans="1:31" x14ac:dyDescent="0.25">
      <c r="A40">
        <v>2019</v>
      </c>
      <c r="B40" t="s">
        <v>36</v>
      </c>
      <c r="C40" t="s">
        <v>33</v>
      </c>
      <c r="D40" t="s">
        <v>35</v>
      </c>
      <c r="F40">
        <v>12</v>
      </c>
      <c r="G40">
        <v>13</v>
      </c>
      <c r="H40">
        <v>1</v>
      </c>
      <c r="I40">
        <v>3</v>
      </c>
      <c r="J40">
        <v>5</v>
      </c>
    </row>
    <row r="41" spans="1:31" x14ac:dyDescent="0.25">
      <c r="A41">
        <v>2020</v>
      </c>
      <c r="B41" t="s">
        <v>36</v>
      </c>
      <c r="C41" t="s">
        <v>33</v>
      </c>
      <c r="D41" t="s">
        <v>35</v>
      </c>
      <c r="F41">
        <v>10</v>
      </c>
      <c r="G41">
        <v>13</v>
      </c>
      <c r="H41">
        <v>14</v>
      </c>
    </row>
    <row r="42" spans="1:31" x14ac:dyDescent="0.25">
      <c r="A42">
        <v>2011</v>
      </c>
      <c r="B42" t="s">
        <v>37</v>
      </c>
      <c r="C42" t="s">
        <v>33</v>
      </c>
      <c r="D42" t="s">
        <v>34</v>
      </c>
      <c r="F42">
        <v>5</v>
      </c>
      <c r="G42">
        <v>5</v>
      </c>
      <c r="H42">
        <v>7</v>
      </c>
      <c r="I42">
        <v>8</v>
      </c>
      <c r="J42">
        <v>8</v>
      </c>
      <c r="K42">
        <v>10</v>
      </c>
      <c r="L42">
        <v>10</v>
      </c>
      <c r="M42">
        <v>12</v>
      </c>
      <c r="N42">
        <v>12</v>
      </c>
      <c r="O42">
        <v>17</v>
      </c>
      <c r="P42">
        <v>17</v>
      </c>
      <c r="Q42">
        <v>13</v>
      </c>
      <c r="R42">
        <v>13</v>
      </c>
      <c r="S42">
        <v>5</v>
      </c>
      <c r="T42">
        <v>8</v>
      </c>
      <c r="U42">
        <v>10</v>
      </c>
      <c r="V42">
        <v>13</v>
      </c>
      <c r="W42">
        <v>2</v>
      </c>
      <c r="X42">
        <v>5</v>
      </c>
      <c r="Y42">
        <v>7</v>
      </c>
      <c r="Z42">
        <v>8</v>
      </c>
      <c r="AA42">
        <v>10</v>
      </c>
      <c r="AB42">
        <v>13</v>
      </c>
    </row>
    <row r="43" spans="1:31" x14ac:dyDescent="0.25">
      <c r="A43">
        <v>2012</v>
      </c>
      <c r="B43" t="s">
        <v>37</v>
      </c>
      <c r="C43" t="s">
        <v>33</v>
      </c>
      <c r="D43" t="s">
        <v>34</v>
      </c>
      <c r="F43">
        <v>5</v>
      </c>
      <c r="G43">
        <v>5</v>
      </c>
      <c r="H43">
        <v>8</v>
      </c>
      <c r="I43">
        <v>10</v>
      </c>
      <c r="J43">
        <v>10</v>
      </c>
      <c r="K43">
        <v>10</v>
      </c>
      <c r="L43">
        <v>12</v>
      </c>
      <c r="M43">
        <v>12</v>
      </c>
      <c r="N43">
        <v>17</v>
      </c>
      <c r="O43">
        <v>13</v>
      </c>
      <c r="P43">
        <v>13</v>
      </c>
      <c r="Q43">
        <v>13</v>
      </c>
      <c r="R43">
        <v>1</v>
      </c>
      <c r="S43">
        <v>2</v>
      </c>
      <c r="T43">
        <v>5</v>
      </c>
      <c r="U43">
        <v>10</v>
      </c>
      <c r="V43">
        <v>13</v>
      </c>
      <c r="W43">
        <v>1</v>
      </c>
      <c r="X43">
        <v>2</v>
      </c>
      <c r="Y43">
        <v>4</v>
      </c>
      <c r="Z43">
        <v>5</v>
      </c>
      <c r="AA43">
        <v>7</v>
      </c>
      <c r="AB43">
        <v>10</v>
      </c>
      <c r="AC43">
        <v>13</v>
      </c>
    </row>
    <row r="44" spans="1:31" x14ac:dyDescent="0.25">
      <c r="A44">
        <v>2013</v>
      </c>
      <c r="B44" t="s">
        <v>37</v>
      </c>
      <c r="C44" t="s">
        <v>33</v>
      </c>
      <c r="D44" t="s">
        <v>34</v>
      </c>
      <c r="F44">
        <v>5</v>
      </c>
      <c r="G44">
        <v>5</v>
      </c>
      <c r="H44">
        <v>7</v>
      </c>
      <c r="I44">
        <v>8</v>
      </c>
      <c r="J44">
        <v>8</v>
      </c>
      <c r="K44">
        <v>10</v>
      </c>
      <c r="L44">
        <v>10</v>
      </c>
      <c r="M44">
        <v>14</v>
      </c>
      <c r="N44">
        <v>12</v>
      </c>
      <c r="O44">
        <v>12</v>
      </c>
      <c r="P44">
        <v>12</v>
      </c>
      <c r="Q44">
        <v>17</v>
      </c>
      <c r="R44">
        <v>17</v>
      </c>
      <c r="S44">
        <v>13</v>
      </c>
      <c r="T44">
        <v>13</v>
      </c>
      <c r="U44">
        <v>5</v>
      </c>
      <c r="V44">
        <v>8</v>
      </c>
      <c r="W44">
        <v>10</v>
      </c>
      <c r="X44">
        <v>13</v>
      </c>
      <c r="Y44">
        <v>2</v>
      </c>
      <c r="Z44">
        <v>5</v>
      </c>
      <c r="AA44">
        <v>7</v>
      </c>
      <c r="AB44">
        <v>8</v>
      </c>
      <c r="AC44">
        <v>10</v>
      </c>
      <c r="AD44">
        <v>13</v>
      </c>
    </row>
    <row r="45" spans="1:31" x14ac:dyDescent="0.25">
      <c r="A45">
        <v>2014</v>
      </c>
      <c r="B45" t="s">
        <v>37</v>
      </c>
      <c r="C45" t="s">
        <v>33</v>
      </c>
      <c r="D45" t="s">
        <v>34</v>
      </c>
      <c r="F45">
        <v>5</v>
      </c>
      <c r="G45">
        <v>5</v>
      </c>
      <c r="H45">
        <v>8</v>
      </c>
      <c r="I45">
        <v>8</v>
      </c>
      <c r="J45">
        <v>8</v>
      </c>
      <c r="K45">
        <v>10</v>
      </c>
      <c r="L45">
        <v>10</v>
      </c>
      <c r="M45">
        <v>12</v>
      </c>
      <c r="N45">
        <v>12</v>
      </c>
      <c r="O45">
        <v>17</v>
      </c>
      <c r="P45">
        <v>13</v>
      </c>
      <c r="Q45">
        <v>13</v>
      </c>
      <c r="R45">
        <v>13</v>
      </c>
      <c r="S45">
        <v>1</v>
      </c>
      <c r="T45">
        <v>2</v>
      </c>
      <c r="U45">
        <v>10</v>
      </c>
      <c r="V45">
        <v>13</v>
      </c>
      <c r="W45">
        <v>3</v>
      </c>
      <c r="X45">
        <v>2</v>
      </c>
      <c r="Y45">
        <v>4</v>
      </c>
      <c r="Z45">
        <v>5</v>
      </c>
      <c r="AA45">
        <v>7</v>
      </c>
      <c r="AB45">
        <v>10</v>
      </c>
      <c r="AC45">
        <v>13</v>
      </c>
    </row>
    <row r="46" spans="1:31" x14ac:dyDescent="0.25">
      <c r="A46">
        <v>2015</v>
      </c>
      <c r="B46" t="s">
        <v>37</v>
      </c>
      <c r="C46" t="s">
        <v>33</v>
      </c>
      <c r="D46" t="s">
        <v>34</v>
      </c>
      <c r="F46">
        <v>5</v>
      </c>
      <c r="G46">
        <v>5</v>
      </c>
      <c r="H46">
        <v>7</v>
      </c>
      <c r="I46">
        <v>8</v>
      </c>
      <c r="J46">
        <v>8</v>
      </c>
      <c r="K46">
        <v>8</v>
      </c>
      <c r="L46">
        <v>10</v>
      </c>
      <c r="M46">
        <v>10</v>
      </c>
      <c r="N46">
        <v>10</v>
      </c>
      <c r="O46">
        <v>12</v>
      </c>
      <c r="P46">
        <v>12</v>
      </c>
      <c r="Q46">
        <v>17</v>
      </c>
      <c r="R46">
        <v>13</v>
      </c>
      <c r="S46">
        <v>13</v>
      </c>
      <c r="T46">
        <v>13</v>
      </c>
      <c r="U46">
        <v>5</v>
      </c>
      <c r="V46">
        <v>8</v>
      </c>
      <c r="W46">
        <v>10</v>
      </c>
      <c r="X46">
        <v>13</v>
      </c>
      <c r="Y46">
        <v>2</v>
      </c>
      <c r="Z46">
        <v>4</v>
      </c>
      <c r="AA46">
        <v>5</v>
      </c>
      <c r="AB46">
        <v>7</v>
      </c>
      <c r="AC46">
        <v>8</v>
      </c>
      <c r="AD46">
        <v>10</v>
      </c>
      <c r="AE46">
        <v>13</v>
      </c>
    </row>
    <row r="47" spans="1:31" x14ac:dyDescent="0.25">
      <c r="A47">
        <v>2016</v>
      </c>
      <c r="B47" t="s">
        <v>37</v>
      </c>
      <c r="C47" t="s">
        <v>33</v>
      </c>
      <c r="D47" t="s">
        <v>34</v>
      </c>
      <c r="F47">
        <v>5</v>
      </c>
      <c r="G47">
        <v>5</v>
      </c>
      <c r="H47">
        <v>7</v>
      </c>
      <c r="I47">
        <v>8</v>
      </c>
      <c r="J47">
        <v>8</v>
      </c>
      <c r="K47">
        <v>10</v>
      </c>
      <c r="L47">
        <v>10</v>
      </c>
      <c r="M47">
        <v>10</v>
      </c>
      <c r="N47">
        <v>12</v>
      </c>
      <c r="O47">
        <v>17</v>
      </c>
      <c r="P47">
        <v>13</v>
      </c>
      <c r="Q47">
        <v>13</v>
      </c>
      <c r="R47">
        <v>13</v>
      </c>
      <c r="S47">
        <v>5</v>
      </c>
      <c r="T47">
        <v>8</v>
      </c>
      <c r="U47">
        <v>10</v>
      </c>
      <c r="V47">
        <v>13</v>
      </c>
      <c r="W47">
        <v>2</v>
      </c>
      <c r="X47">
        <v>5</v>
      </c>
      <c r="Y47">
        <v>7</v>
      </c>
      <c r="Z47">
        <v>8</v>
      </c>
      <c r="AA47">
        <v>10</v>
      </c>
      <c r="AB47">
        <v>17</v>
      </c>
      <c r="AC47">
        <v>13</v>
      </c>
    </row>
    <row r="48" spans="1:31" x14ac:dyDescent="0.25">
      <c r="A48">
        <v>2017</v>
      </c>
      <c r="B48" t="s">
        <v>37</v>
      </c>
      <c r="C48" t="s">
        <v>33</v>
      </c>
      <c r="D48" t="s">
        <v>34</v>
      </c>
      <c r="F48">
        <v>5</v>
      </c>
      <c r="G48">
        <v>5</v>
      </c>
      <c r="H48">
        <v>8</v>
      </c>
      <c r="I48">
        <v>10</v>
      </c>
      <c r="J48">
        <v>10</v>
      </c>
      <c r="K48">
        <v>10</v>
      </c>
      <c r="L48">
        <v>10</v>
      </c>
      <c r="M48">
        <v>12</v>
      </c>
      <c r="N48">
        <v>12</v>
      </c>
      <c r="O48">
        <v>12</v>
      </c>
      <c r="P48">
        <v>17</v>
      </c>
      <c r="Q48">
        <v>17</v>
      </c>
      <c r="R48">
        <v>13</v>
      </c>
      <c r="S48">
        <v>13</v>
      </c>
      <c r="T48">
        <v>13</v>
      </c>
      <c r="U48">
        <v>8</v>
      </c>
      <c r="V48">
        <v>10</v>
      </c>
      <c r="W48">
        <v>13</v>
      </c>
      <c r="X48">
        <v>5</v>
      </c>
      <c r="Y48">
        <v>7</v>
      </c>
      <c r="Z48">
        <v>8</v>
      </c>
      <c r="AA48">
        <v>10</v>
      </c>
      <c r="AB48">
        <v>17</v>
      </c>
      <c r="AC48">
        <v>13</v>
      </c>
    </row>
    <row r="49" spans="1:30" x14ac:dyDescent="0.25">
      <c r="A49">
        <v>2018</v>
      </c>
      <c r="B49" t="s">
        <v>37</v>
      </c>
      <c r="C49" t="s">
        <v>33</v>
      </c>
      <c r="D49" t="s">
        <v>34</v>
      </c>
      <c r="F49">
        <v>5</v>
      </c>
      <c r="G49">
        <v>5</v>
      </c>
      <c r="H49">
        <v>7</v>
      </c>
      <c r="I49">
        <v>8</v>
      </c>
      <c r="J49">
        <v>10</v>
      </c>
      <c r="K49">
        <v>10</v>
      </c>
      <c r="L49">
        <v>12</v>
      </c>
      <c r="M49">
        <v>17</v>
      </c>
      <c r="N49">
        <v>13</v>
      </c>
      <c r="O49">
        <v>13</v>
      </c>
      <c r="P49">
        <v>13</v>
      </c>
      <c r="Q49">
        <v>13</v>
      </c>
      <c r="R49">
        <v>5</v>
      </c>
      <c r="S49">
        <v>8</v>
      </c>
      <c r="T49">
        <v>10</v>
      </c>
      <c r="U49">
        <v>13</v>
      </c>
      <c r="V49">
        <v>2</v>
      </c>
      <c r="W49">
        <v>4</v>
      </c>
      <c r="X49">
        <v>5</v>
      </c>
      <c r="Y49">
        <v>7</v>
      </c>
      <c r="Z49">
        <v>8</v>
      </c>
      <c r="AA49">
        <v>10</v>
      </c>
      <c r="AB49">
        <v>17</v>
      </c>
      <c r="AC49">
        <v>13</v>
      </c>
    </row>
    <row r="50" spans="1:30" x14ac:dyDescent="0.25">
      <c r="A50">
        <v>2019</v>
      </c>
      <c r="B50" t="s">
        <v>37</v>
      </c>
      <c r="C50" t="s">
        <v>33</v>
      </c>
      <c r="D50" t="s">
        <v>34</v>
      </c>
      <c r="F50">
        <v>5</v>
      </c>
      <c r="G50">
        <v>5</v>
      </c>
      <c r="H50">
        <v>7</v>
      </c>
      <c r="I50">
        <v>8</v>
      </c>
      <c r="J50">
        <v>8</v>
      </c>
      <c r="K50">
        <v>10</v>
      </c>
      <c r="L50">
        <v>10</v>
      </c>
      <c r="M50">
        <v>12</v>
      </c>
      <c r="N50">
        <v>12</v>
      </c>
      <c r="O50">
        <v>17</v>
      </c>
      <c r="P50">
        <v>13</v>
      </c>
      <c r="Q50">
        <v>13</v>
      </c>
      <c r="R50">
        <v>13</v>
      </c>
      <c r="S50">
        <v>5</v>
      </c>
      <c r="T50">
        <v>8</v>
      </c>
      <c r="U50">
        <v>10</v>
      </c>
      <c r="V50">
        <v>13</v>
      </c>
      <c r="W50">
        <v>3</v>
      </c>
      <c r="X50">
        <v>2</v>
      </c>
      <c r="Y50">
        <v>5</v>
      </c>
      <c r="Z50">
        <v>7</v>
      </c>
      <c r="AA50">
        <v>8</v>
      </c>
      <c r="AB50">
        <v>10</v>
      </c>
      <c r="AC50">
        <v>13</v>
      </c>
    </row>
    <row r="51" spans="1:30" x14ac:dyDescent="0.25">
      <c r="A51">
        <v>2020</v>
      </c>
      <c r="B51" t="s">
        <v>37</v>
      </c>
      <c r="C51" t="s">
        <v>33</v>
      </c>
      <c r="D51" t="s">
        <v>34</v>
      </c>
      <c r="F51">
        <v>5</v>
      </c>
      <c r="G51">
        <v>5</v>
      </c>
      <c r="H51">
        <v>7</v>
      </c>
      <c r="I51">
        <v>8</v>
      </c>
      <c r="J51">
        <v>8</v>
      </c>
      <c r="K51">
        <v>10</v>
      </c>
      <c r="L51">
        <v>10</v>
      </c>
      <c r="M51">
        <v>12</v>
      </c>
      <c r="N51">
        <v>12</v>
      </c>
      <c r="O51">
        <v>17</v>
      </c>
      <c r="P51">
        <v>13</v>
      </c>
      <c r="Q51">
        <v>13</v>
      </c>
      <c r="R51">
        <v>5</v>
      </c>
      <c r="S51">
        <v>8</v>
      </c>
      <c r="T51">
        <v>10</v>
      </c>
      <c r="U51">
        <v>10</v>
      </c>
      <c r="V51">
        <v>17</v>
      </c>
      <c r="W51">
        <v>13</v>
      </c>
      <c r="X51">
        <v>2</v>
      </c>
      <c r="Y51">
        <v>5</v>
      </c>
      <c r="Z51">
        <v>7</v>
      </c>
      <c r="AA51">
        <v>8</v>
      </c>
      <c r="AB51">
        <v>10</v>
      </c>
      <c r="AC51">
        <v>17</v>
      </c>
      <c r="AD51">
        <v>13</v>
      </c>
    </row>
    <row r="52" spans="1:30" x14ac:dyDescent="0.25">
      <c r="A52">
        <v>2011</v>
      </c>
      <c r="B52" t="s">
        <v>37</v>
      </c>
      <c r="C52" t="s">
        <v>33</v>
      </c>
      <c r="D52" t="s">
        <v>35</v>
      </c>
      <c r="F52">
        <v>8</v>
      </c>
      <c r="G52">
        <v>14</v>
      </c>
      <c r="H52">
        <v>14</v>
      </c>
      <c r="I52">
        <v>12</v>
      </c>
      <c r="J52">
        <v>12</v>
      </c>
      <c r="K52">
        <v>12</v>
      </c>
      <c r="L52">
        <v>17</v>
      </c>
    </row>
    <row r="53" spans="1:30" x14ac:dyDescent="0.25">
      <c r="A53">
        <v>2012</v>
      </c>
      <c r="B53" t="s">
        <v>37</v>
      </c>
      <c r="C53" t="s">
        <v>33</v>
      </c>
      <c r="D53" t="s">
        <v>35</v>
      </c>
      <c r="F53">
        <v>7</v>
      </c>
      <c r="G53">
        <v>8</v>
      </c>
      <c r="H53">
        <v>5</v>
      </c>
      <c r="I53">
        <v>8</v>
      </c>
      <c r="J53">
        <v>12</v>
      </c>
      <c r="K53">
        <v>8</v>
      </c>
    </row>
    <row r="54" spans="1:30" x14ac:dyDescent="0.25">
      <c r="A54">
        <v>2013</v>
      </c>
      <c r="B54" t="s">
        <v>37</v>
      </c>
      <c r="C54" t="s">
        <v>33</v>
      </c>
      <c r="D54" t="s">
        <v>35</v>
      </c>
      <c r="F54">
        <v>14</v>
      </c>
      <c r="G54">
        <v>12</v>
      </c>
      <c r="H54">
        <v>17</v>
      </c>
      <c r="I54">
        <v>17</v>
      </c>
    </row>
    <row r="55" spans="1:30" x14ac:dyDescent="0.25">
      <c r="A55">
        <v>2014</v>
      </c>
      <c r="B55" t="s">
        <v>37</v>
      </c>
      <c r="C55" t="s">
        <v>33</v>
      </c>
      <c r="D55" t="s">
        <v>35</v>
      </c>
      <c r="F55">
        <v>7</v>
      </c>
      <c r="G55">
        <v>14</v>
      </c>
      <c r="H55">
        <v>12</v>
      </c>
      <c r="I55">
        <v>5</v>
      </c>
      <c r="J55">
        <v>8</v>
      </c>
      <c r="K55">
        <v>12</v>
      </c>
    </row>
    <row r="56" spans="1:30" x14ac:dyDescent="0.25">
      <c r="A56">
        <v>2015</v>
      </c>
      <c r="B56" t="s">
        <v>37</v>
      </c>
      <c r="C56" t="s">
        <v>33</v>
      </c>
      <c r="D56" t="s">
        <v>35</v>
      </c>
      <c r="F56">
        <v>2</v>
      </c>
      <c r="G56">
        <v>7</v>
      </c>
      <c r="H56">
        <v>12</v>
      </c>
      <c r="I56">
        <v>17</v>
      </c>
    </row>
    <row r="57" spans="1:30" x14ac:dyDescent="0.25">
      <c r="A57">
        <v>2016</v>
      </c>
      <c r="B57" t="s">
        <v>37</v>
      </c>
      <c r="C57" t="s">
        <v>33</v>
      </c>
      <c r="D57" t="s">
        <v>35</v>
      </c>
      <c r="F57">
        <v>2</v>
      </c>
      <c r="G57">
        <v>12</v>
      </c>
      <c r="H57">
        <v>17</v>
      </c>
      <c r="I57">
        <v>12</v>
      </c>
    </row>
    <row r="58" spans="1:30" x14ac:dyDescent="0.25">
      <c r="A58">
        <v>2017</v>
      </c>
      <c r="B58" t="s">
        <v>37</v>
      </c>
      <c r="C58" t="s">
        <v>33</v>
      </c>
      <c r="D58" t="s">
        <v>35</v>
      </c>
      <c r="F58">
        <v>8</v>
      </c>
      <c r="G58">
        <v>17</v>
      </c>
      <c r="H58">
        <v>5</v>
      </c>
      <c r="I58">
        <v>7</v>
      </c>
      <c r="J58">
        <v>12</v>
      </c>
    </row>
    <row r="59" spans="1:30" x14ac:dyDescent="0.25">
      <c r="A59">
        <v>2018</v>
      </c>
      <c r="B59" t="s">
        <v>37</v>
      </c>
      <c r="C59" t="s">
        <v>33</v>
      </c>
      <c r="D59" t="s">
        <v>35</v>
      </c>
      <c r="F59">
        <v>1</v>
      </c>
      <c r="G59">
        <v>14</v>
      </c>
      <c r="H59">
        <v>2</v>
      </c>
      <c r="I59">
        <v>7</v>
      </c>
      <c r="J59">
        <v>12</v>
      </c>
      <c r="K59">
        <v>17</v>
      </c>
    </row>
    <row r="60" spans="1:30" x14ac:dyDescent="0.25">
      <c r="A60">
        <v>2019</v>
      </c>
      <c r="B60" t="s">
        <v>37</v>
      </c>
      <c r="C60" t="s">
        <v>33</v>
      </c>
      <c r="D60" t="s">
        <v>35</v>
      </c>
      <c r="F60">
        <v>14</v>
      </c>
      <c r="G60">
        <v>17</v>
      </c>
      <c r="H60">
        <v>2</v>
      </c>
      <c r="I60">
        <v>12</v>
      </c>
    </row>
    <row r="61" spans="1:30" x14ac:dyDescent="0.25">
      <c r="A61">
        <v>2020</v>
      </c>
      <c r="B61" t="s">
        <v>37</v>
      </c>
      <c r="C61" t="s">
        <v>33</v>
      </c>
      <c r="D61" t="s">
        <v>35</v>
      </c>
      <c r="F61">
        <v>14</v>
      </c>
      <c r="G61">
        <v>14</v>
      </c>
      <c r="H61">
        <v>2</v>
      </c>
      <c r="I61">
        <v>12</v>
      </c>
    </row>
  </sheetData>
  <sortState xmlns:xlrd2="http://schemas.microsoft.com/office/spreadsheetml/2017/richdata2" ref="A43:AF61">
    <sortCondition ref="D43:D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E3DE-7497-4BED-A594-67FC8D81DC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E41D-8238-47B6-8180-883CA28A5579}">
  <dimension ref="A1:G26"/>
  <sheetViews>
    <sheetView workbookViewId="0">
      <selection activeCell="D28" sqref="D28"/>
    </sheetView>
  </sheetViews>
  <sheetFormatPr defaultRowHeight="15" x14ac:dyDescent="0.25"/>
  <sheetData>
    <row r="1" spans="1:7" x14ac:dyDescent="0.25">
      <c r="A1" t="s">
        <v>93</v>
      </c>
      <c r="B1" t="s">
        <v>99</v>
      </c>
      <c r="C1" t="s">
        <v>100</v>
      </c>
      <c r="D1" t="s">
        <v>98</v>
      </c>
      <c r="E1" t="s">
        <v>97</v>
      </c>
      <c r="F1" t="s">
        <v>101</v>
      </c>
      <c r="G1" t="s">
        <v>102</v>
      </c>
    </row>
    <row r="2" spans="1:7" x14ac:dyDescent="0.25">
      <c r="A2">
        <v>1</v>
      </c>
      <c r="B2">
        <f>COUNTIF(Sheet2!$F$2:$Z$11,'Subbasin group frequency'!A2)</f>
        <v>2</v>
      </c>
      <c r="C2">
        <f>COUNTIF(Sheet2!$E$12:$M$21,'Subbasin group frequency'!A2)</f>
        <v>8</v>
      </c>
      <c r="D2">
        <f>COUNTIF(Sheet2!$E$22:$AF$31,'Subbasin group frequency'!A2)</f>
        <v>4</v>
      </c>
      <c r="E2">
        <f>COUNTIF(Sheet2!$E$32:$XFD$41,'Subbasin group frequency'!A2)</f>
        <v>5</v>
      </c>
      <c r="F2">
        <f>COUNTIF(Sheet2!$E$42:$AB$51,'Subbasin group frequency'!A2)</f>
        <v>3</v>
      </c>
      <c r="G2">
        <f>COUNTIF(Sheet2!$E$52:$L$61,'Subbasin group frequency'!A2)</f>
        <v>1</v>
      </c>
    </row>
    <row r="3" spans="1:7" x14ac:dyDescent="0.25">
      <c r="A3">
        <v>2</v>
      </c>
      <c r="B3">
        <f>COUNTIF(Sheet2!$F$2:$Z$11,'Subbasin group frequency'!A3)</f>
        <v>11</v>
      </c>
      <c r="C3">
        <f>COUNTIF(Sheet2!$E$12:$M$21,'Subbasin group frequency'!A3)</f>
        <v>6</v>
      </c>
      <c r="D3">
        <f>COUNTIF(Sheet2!$E$22:$AF$31,'Subbasin group frequency'!A3)</f>
        <v>13</v>
      </c>
      <c r="E3">
        <f>COUNTIF(Sheet2!$E$32:$XFD$41,'Subbasin group frequency'!A3)</f>
        <v>3</v>
      </c>
      <c r="F3">
        <f>COUNTIF(Sheet2!$E$42:$AB$51,'Subbasin group frequency'!A3)</f>
        <v>11</v>
      </c>
      <c r="G3">
        <f>COUNTIF(Sheet2!$E$52:$L$61,'Subbasin group frequency'!A3)</f>
        <v>5</v>
      </c>
    </row>
    <row r="4" spans="1:7" x14ac:dyDescent="0.25">
      <c r="A4">
        <v>3</v>
      </c>
      <c r="B4">
        <f>COUNTIF(Sheet2!$F$2:$Z$11,'Subbasin group frequency'!A4)</f>
        <v>1</v>
      </c>
      <c r="C4">
        <f>COUNTIF(Sheet2!$E$12:$M$21,'Subbasin group frequency'!A4)</f>
        <v>9</v>
      </c>
      <c r="D4">
        <f>COUNTIF(Sheet2!$E$22:$AF$31,'Subbasin group frequency'!A4)</f>
        <v>5</v>
      </c>
      <c r="E4">
        <f>COUNTIF(Sheet2!$E$32:$XFD$41,'Subbasin group frequency'!A4)</f>
        <v>4</v>
      </c>
      <c r="F4">
        <f>COUNTIF(Sheet2!$E$42:$AB$51,'Subbasin group frequency'!A4)</f>
        <v>2</v>
      </c>
      <c r="G4">
        <f>COUNTIF(Sheet2!$E$52:$L$61,'Subbasin group frequency'!A4)</f>
        <v>0</v>
      </c>
    </row>
    <row r="5" spans="1:7" x14ac:dyDescent="0.25">
      <c r="A5">
        <v>4</v>
      </c>
      <c r="B5">
        <f>COUNTIF(Sheet2!$F$2:$Z$11,'Subbasin group frequency'!A5)</f>
        <v>2</v>
      </c>
      <c r="C5">
        <f>COUNTIF(Sheet2!$E$12:$M$21,'Subbasin group frequency'!A5)</f>
        <v>7</v>
      </c>
      <c r="D5">
        <f>COUNTIF(Sheet2!$E$22:$AF$31,'Subbasin group frequency'!A5)</f>
        <v>3</v>
      </c>
      <c r="E5">
        <f>COUNTIF(Sheet2!$E$32:$XFD$41,'Subbasin group frequency'!A5)</f>
        <v>5</v>
      </c>
      <c r="F5">
        <f>COUNTIF(Sheet2!$E$42:$AB$51,'Subbasin group frequency'!A5)</f>
        <v>4</v>
      </c>
      <c r="G5">
        <f>COUNTIF(Sheet2!$E$52:$L$61,'Subbasin group frequency'!A5)</f>
        <v>0</v>
      </c>
    </row>
    <row r="6" spans="1:7" x14ac:dyDescent="0.25">
      <c r="A6">
        <v>5</v>
      </c>
      <c r="B6">
        <f>COUNTIF(Sheet2!$F$2:$Z$11,'Subbasin group frequency'!A6)</f>
        <v>39</v>
      </c>
      <c r="C6">
        <f>COUNTIF(Sheet2!$E$12:$M$21,'Subbasin group frequency'!A6)</f>
        <v>1</v>
      </c>
      <c r="D6">
        <f>COUNTIF(Sheet2!$E$22:$AF$31,'Subbasin group frequency'!A6)</f>
        <v>34</v>
      </c>
      <c r="E6">
        <f>COUNTIF(Sheet2!$E$32:$XFD$41,'Subbasin group frequency'!A6)</f>
        <v>6</v>
      </c>
      <c r="F6">
        <f>COUNTIF(Sheet2!$E$42:$AB$51,'Subbasin group frequency'!A6)</f>
        <v>38</v>
      </c>
      <c r="G6">
        <f>COUNTIF(Sheet2!$E$52:$L$61,'Subbasin group frequency'!A6)</f>
        <v>3</v>
      </c>
    </row>
    <row r="7" spans="1:7" x14ac:dyDescent="0.25">
      <c r="A7">
        <v>6</v>
      </c>
      <c r="B7">
        <f>COUNTIF(Sheet2!$F$2:$Z$11,'Subbasin group frequency'!A7)</f>
        <v>0</v>
      </c>
      <c r="C7">
        <f>COUNTIF(Sheet2!$E$12:$M$21,'Subbasin group frequency'!A7)</f>
        <v>0</v>
      </c>
      <c r="D7">
        <f>COUNTIF(Sheet2!$E$22:$AF$31,'Subbasin group frequency'!A7)</f>
        <v>0</v>
      </c>
      <c r="E7">
        <f>COUNTIF(Sheet2!$E$32:$XFD$41,'Subbasin group frequency'!A7)</f>
        <v>0</v>
      </c>
      <c r="F7">
        <f>COUNTIF(Sheet2!$E$42:$AB$51,'Subbasin group frequency'!A7)</f>
        <v>0</v>
      </c>
      <c r="G7">
        <f>COUNTIF(Sheet2!$E$52:$L$61,'Subbasin group frequency'!A7)</f>
        <v>0</v>
      </c>
    </row>
    <row r="8" spans="1:7" x14ac:dyDescent="0.25">
      <c r="A8">
        <v>7</v>
      </c>
      <c r="B8">
        <f>COUNTIF(Sheet2!$F$2:$Z$11,'Subbasin group frequency'!A8)</f>
        <v>11</v>
      </c>
      <c r="C8">
        <f>COUNTIF(Sheet2!$E$12:$M$21,'Subbasin group frequency'!A8)</f>
        <v>10</v>
      </c>
      <c r="D8">
        <f>COUNTIF(Sheet2!$E$22:$AF$31,'Subbasin group frequency'!A8)</f>
        <v>15</v>
      </c>
      <c r="E8">
        <f>COUNTIF(Sheet2!$E$32:$XFD$41,'Subbasin group frequency'!A8)</f>
        <v>1</v>
      </c>
      <c r="F8">
        <f>COUNTIF(Sheet2!$E$42:$AB$51,'Subbasin group frequency'!A8)</f>
        <v>17</v>
      </c>
      <c r="G8">
        <f>COUNTIF(Sheet2!$E$52:$L$61,'Subbasin group frequency'!A8)</f>
        <v>5</v>
      </c>
    </row>
    <row r="9" spans="1:7" x14ac:dyDescent="0.25">
      <c r="A9">
        <v>8</v>
      </c>
      <c r="B9">
        <f>COUNTIF(Sheet2!$F$2:$Z$11,'Subbasin group frequency'!A9)</f>
        <v>20</v>
      </c>
      <c r="C9">
        <f>COUNTIF(Sheet2!$E$12:$M$21,'Subbasin group frequency'!A9)</f>
        <v>7</v>
      </c>
      <c r="D9">
        <f>COUNTIF(Sheet2!$E$22:$AF$31,'Subbasin group frequency'!A9)</f>
        <v>20</v>
      </c>
      <c r="E9">
        <f>COUNTIF(Sheet2!$E$32:$XFD$41,'Subbasin group frequency'!A9)</f>
        <v>4</v>
      </c>
      <c r="F9">
        <f>COUNTIF(Sheet2!$E$42:$AB$51,'Subbasin group frequency'!A9)</f>
        <v>34</v>
      </c>
      <c r="G9">
        <f>COUNTIF(Sheet2!$E$52:$L$61,'Subbasin group frequency'!A9)</f>
        <v>6</v>
      </c>
    </row>
    <row r="10" spans="1:7" x14ac:dyDescent="0.25">
      <c r="A10">
        <v>9</v>
      </c>
      <c r="B10">
        <f>COUNTIF(Sheet2!$F$2:$Z$11,'Subbasin group frequency'!A10)</f>
        <v>0</v>
      </c>
      <c r="C10">
        <f>COUNTIF(Sheet2!$E$12:$M$21,'Subbasin group frequency'!A10)</f>
        <v>0</v>
      </c>
      <c r="D10">
        <f>COUNTIF(Sheet2!$E$22:$AF$31,'Subbasin group frequency'!A10)</f>
        <v>0</v>
      </c>
      <c r="E10">
        <f>COUNTIF(Sheet2!$E$32:$XFD$41,'Subbasin group frequency'!A10)</f>
        <v>0</v>
      </c>
      <c r="F10">
        <f>COUNTIF(Sheet2!$E$42:$AB$51,'Subbasin group frequency'!A10)</f>
        <v>0</v>
      </c>
      <c r="G10">
        <f>COUNTIF(Sheet2!$E$52:$L$61,'Subbasin group frequency'!A10)</f>
        <v>0</v>
      </c>
    </row>
    <row r="11" spans="1:7" x14ac:dyDescent="0.25">
      <c r="A11">
        <v>10</v>
      </c>
      <c r="B11">
        <f>COUNTIF(Sheet2!$F$2:$Z$11,'Subbasin group frequency'!A11)</f>
        <v>49</v>
      </c>
      <c r="C11">
        <f>COUNTIF(Sheet2!$E$12:$M$21,'Subbasin group frequency'!A11)</f>
        <v>5</v>
      </c>
      <c r="D11">
        <f>COUNTIF(Sheet2!$E$22:$AF$31,'Subbasin group frequency'!A11)</f>
        <v>58</v>
      </c>
      <c r="E11">
        <f>COUNTIF(Sheet2!$E$32:$XFD$41,'Subbasin group frequency'!A11)</f>
        <v>1</v>
      </c>
      <c r="F11">
        <f>COUNTIF(Sheet2!$E$42:$AB$51,'Subbasin group frequency'!A11)</f>
        <v>44</v>
      </c>
      <c r="G11">
        <f>COUNTIF(Sheet2!$E$52:$L$61,'Subbasin group frequency'!A11)</f>
        <v>0</v>
      </c>
    </row>
    <row r="12" spans="1:7" x14ac:dyDescent="0.25">
      <c r="A12">
        <v>11</v>
      </c>
      <c r="B12">
        <f>COUNTIF(Sheet2!$F$2:$Z$11,'Subbasin group frequency'!A12)</f>
        <v>0</v>
      </c>
      <c r="C12">
        <f>COUNTIF(Sheet2!$E$12:$M$21,'Subbasin group frequency'!A12)</f>
        <v>0</v>
      </c>
      <c r="D12">
        <f>COUNTIF(Sheet2!$E$22:$AF$31,'Subbasin group frequency'!A12)</f>
        <v>0</v>
      </c>
      <c r="E12">
        <f>COUNTIF(Sheet2!$E$32:$XFD$41,'Subbasin group frequency'!A12)</f>
        <v>0</v>
      </c>
      <c r="F12">
        <f>COUNTIF(Sheet2!$E$42:$AB$51,'Subbasin group frequency'!A12)</f>
        <v>0</v>
      </c>
      <c r="G12">
        <f>COUNTIF(Sheet2!$E$52:$L$61,'Subbasin group frequency'!A12)</f>
        <v>0</v>
      </c>
    </row>
    <row r="13" spans="1:7" x14ac:dyDescent="0.25">
      <c r="A13">
        <v>12</v>
      </c>
      <c r="B13">
        <f>COUNTIF(Sheet2!$F$2:$Z$11,'Subbasin group frequency'!A13)</f>
        <v>25</v>
      </c>
      <c r="C13">
        <f>COUNTIF(Sheet2!$E$12:$M$21,'Subbasin group frequency'!A13)</f>
        <v>6</v>
      </c>
      <c r="D13">
        <f>COUNTIF(Sheet2!$E$22:$AF$31,'Subbasin group frequency'!A13)</f>
        <v>22</v>
      </c>
      <c r="E13">
        <f>COUNTIF(Sheet2!$E$32:$XFD$41,'Subbasin group frequency'!A13)</f>
        <v>7</v>
      </c>
      <c r="F13">
        <f>COUNTIF(Sheet2!$E$42:$AB$51,'Subbasin group frequency'!A13)</f>
        <v>20</v>
      </c>
      <c r="G13">
        <f>COUNTIF(Sheet2!$E$52:$L$61,'Subbasin group frequency'!A13)</f>
        <v>14</v>
      </c>
    </row>
    <row r="14" spans="1:7" x14ac:dyDescent="0.25">
      <c r="A14">
        <v>13</v>
      </c>
      <c r="B14">
        <f>COUNTIF(Sheet2!$F$2:$Z$11,'Subbasin group frequency'!A14)</f>
        <v>37</v>
      </c>
      <c r="C14">
        <f>COUNTIF(Sheet2!$E$12:$M$21,'Subbasin group frequency'!A14)</f>
        <v>2</v>
      </c>
      <c r="D14">
        <f>COUNTIF(Sheet2!$E$22:$AF$31,'Subbasin group frequency'!A14)</f>
        <v>44</v>
      </c>
      <c r="E14">
        <f>COUNTIF(Sheet2!$E$32:$XFD$41,'Subbasin group frequency'!A14)</f>
        <v>5</v>
      </c>
      <c r="F14">
        <f>COUNTIF(Sheet2!$E$42:$AB$51,'Subbasin group frequency'!A14)</f>
        <v>39</v>
      </c>
      <c r="G14">
        <f>COUNTIF(Sheet2!$E$52:$L$61,'Subbasin group frequency'!A14)</f>
        <v>0</v>
      </c>
    </row>
    <row r="15" spans="1:7" x14ac:dyDescent="0.25">
      <c r="A15">
        <v>14</v>
      </c>
      <c r="B15">
        <f>COUNTIF(Sheet2!$F$2:$Z$11,'Subbasin group frequency'!A15)</f>
        <v>1</v>
      </c>
      <c r="C15">
        <f>COUNTIF(Sheet2!$E$12:$M$21,'Subbasin group frequency'!A15)</f>
        <v>1</v>
      </c>
      <c r="D15">
        <f>COUNTIF(Sheet2!$E$22:$AF$31,'Subbasin group frequency'!A15)</f>
        <v>10</v>
      </c>
      <c r="E15">
        <f>COUNTIF(Sheet2!$E$32:$XFD$41,'Subbasin group frequency'!A15)</f>
        <v>2</v>
      </c>
      <c r="F15">
        <f>COUNTIF(Sheet2!$E$42:$AB$51,'Subbasin group frequency'!A15)</f>
        <v>1</v>
      </c>
      <c r="G15">
        <f>COUNTIF(Sheet2!$E$52:$L$61,'Subbasin group frequency'!A15)</f>
        <v>8</v>
      </c>
    </row>
    <row r="16" spans="1:7" x14ac:dyDescent="0.25">
      <c r="A16">
        <v>15</v>
      </c>
      <c r="B16">
        <f>COUNTIF(Sheet2!$F$2:$Z$11,'Subbasin group frequency'!A16)</f>
        <v>0</v>
      </c>
      <c r="C16">
        <f>COUNTIF(Sheet2!$E$12:$M$21,'Subbasin group frequency'!A16)</f>
        <v>0</v>
      </c>
      <c r="D16">
        <f>COUNTIF(Sheet2!$E$22:$AF$31,'Subbasin group frequency'!A16)</f>
        <v>0</v>
      </c>
      <c r="E16">
        <f>COUNTIF(Sheet2!$E$32:$XFD$41,'Subbasin group frequency'!A16)</f>
        <v>0</v>
      </c>
      <c r="F16">
        <f>COUNTIF(Sheet2!$E$42:$AB$51,'Subbasin group frequency'!A16)</f>
        <v>0</v>
      </c>
      <c r="G16">
        <f>COUNTIF(Sheet2!$E$52:$L$61,'Subbasin group frequency'!A16)</f>
        <v>0</v>
      </c>
    </row>
    <row r="17" spans="1:7" x14ac:dyDescent="0.25">
      <c r="A17">
        <v>16</v>
      </c>
      <c r="B17">
        <f>COUNTIF(Sheet2!$F$2:$Z$11,'Subbasin group frequency'!A17)</f>
        <v>0</v>
      </c>
      <c r="C17">
        <f>COUNTIF(Sheet2!$E$12:$M$21,'Subbasin group frequency'!A17)</f>
        <v>0</v>
      </c>
      <c r="D17">
        <f>COUNTIF(Sheet2!$E$22:$AF$31,'Subbasin group frequency'!A17)</f>
        <v>0</v>
      </c>
      <c r="E17">
        <f>COUNTIF(Sheet2!$E$32:$XFD$41,'Subbasin group frequency'!A17)</f>
        <v>0</v>
      </c>
      <c r="F17">
        <f>COUNTIF(Sheet2!$E$42:$AB$51,'Subbasin group frequency'!A17)</f>
        <v>0</v>
      </c>
      <c r="G17">
        <f>COUNTIF(Sheet2!$E$52:$L$61,'Subbasin group frequency'!A17)</f>
        <v>0</v>
      </c>
    </row>
    <row r="18" spans="1:7" x14ac:dyDescent="0.25">
      <c r="A18">
        <v>17</v>
      </c>
      <c r="B18">
        <f>COUNTIF(Sheet2!$F$2:$Z$11,'Subbasin group frequency'!A18)</f>
        <v>12</v>
      </c>
      <c r="C18">
        <f>COUNTIF(Sheet2!$E$12:$M$21,'Subbasin group frequency'!A18)</f>
        <v>10</v>
      </c>
      <c r="D18">
        <f>COUNTIF(Sheet2!$E$22:$AF$31,'Subbasin group frequency'!A18)</f>
        <v>19</v>
      </c>
      <c r="E18">
        <f>COUNTIF(Sheet2!$E$32:$XFD$41,'Subbasin group frequency'!A18)</f>
        <v>2</v>
      </c>
      <c r="F18">
        <f>COUNTIF(Sheet2!$E$42:$AB$51,'Subbasin group frequency'!A18)</f>
        <v>17</v>
      </c>
      <c r="G18">
        <f>COUNTIF(Sheet2!$E$52:$L$61,'Subbasin group frequency'!A18)</f>
        <v>8</v>
      </c>
    </row>
    <row r="19" spans="1:7" x14ac:dyDescent="0.25">
      <c r="A19">
        <v>18</v>
      </c>
      <c r="B19">
        <f>COUNTIF(Sheet2!$F$2:$Z$11,'Subbasin group frequency'!A19)</f>
        <v>0</v>
      </c>
      <c r="C19">
        <f>COUNTIF(Sheet2!$E$12:$M$21,'Subbasin group frequency'!A19)</f>
        <v>0</v>
      </c>
      <c r="D19">
        <f>COUNTIF(Sheet2!$E$22:$AF$31,'Subbasin group frequency'!A19)</f>
        <v>0</v>
      </c>
      <c r="E19">
        <f>COUNTIF(Sheet2!$E$32:$XFD$41,'Subbasin group frequency'!A19)</f>
        <v>0</v>
      </c>
      <c r="F19">
        <f>COUNTIF(Sheet2!$E$42:$AB$51,'Subbasin group frequency'!A19)</f>
        <v>0</v>
      </c>
      <c r="G19">
        <f>COUNTIF(Sheet2!$E$52:$L$61,'Subbasin group frequency'!A19)</f>
        <v>0</v>
      </c>
    </row>
    <row r="20" spans="1:7" x14ac:dyDescent="0.25">
      <c r="A20">
        <v>19</v>
      </c>
      <c r="B20">
        <f>COUNTIF(Sheet2!$F$2:$Z$11,'Subbasin group frequency'!A20)</f>
        <v>0</v>
      </c>
      <c r="C20">
        <f>COUNTIF(Sheet2!$E$12:$M$21,'Subbasin group frequency'!A20)</f>
        <v>0</v>
      </c>
      <c r="D20">
        <f>COUNTIF(Sheet2!$E$22:$AF$31,'Subbasin group frequency'!A20)</f>
        <v>0</v>
      </c>
      <c r="E20">
        <f>COUNTIF(Sheet2!$E$32:$XFD$41,'Subbasin group frequency'!A20)</f>
        <v>0</v>
      </c>
      <c r="F20">
        <f>COUNTIF(Sheet2!$E$42:$AB$51,'Subbasin group frequency'!A20)</f>
        <v>0</v>
      </c>
      <c r="G20">
        <f>COUNTIF(Sheet2!$E$52:$L$61,'Subbasin group frequency'!A20)</f>
        <v>0</v>
      </c>
    </row>
    <row r="21" spans="1:7" x14ac:dyDescent="0.25">
      <c r="A21">
        <v>20</v>
      </c>
      <c r="B21">
        <f>COUNTIF(Sheet2!$F$2:$Z$11,'Subbasin group frequency'!A21)</f>
        <v>0</v>
      </c>
      <c r="C21">
        <f>COUNTIF(Sheet2!$E$12:$M$21,'Subbasin group frequency'!A21)</f>
        <v>0</v>
      </c>
      <c r="D21">
        <f>COUNTIF(Sheet2!$E$22:$AF$31,'Subbasin group frequency'!A21)</f>
        <v>0</v>
      </c>
      <c r="E21">
        <f>COUNTIF(Sheet2!$E$32:$XFD$41,'Subbasin group frequency'!A21)</f>
        <v>0</v>
      </c>
      <c r="F21">
        <f>COUNTIF(Sheet2!$E$42:$AB$51,'Subbasin group frequency'!A21)</f>
        <v>0</v>
      </c>
      <c r="G21">
        <f>COUNTIF(Sheet2!$E$52:$L$61,'Subbasin group frequency'!A21)</f>
        <v>0</v>
      </c>
    </row>
    <row r="22" spans="1:7" x14ac:dyDescent="0.25">
      <c r="A22">
        <v>21</v>
      </c>
      <c r="B22">
        <f>COUNTIF(Sheet2!$F$2:$Z$11,'Subbasin group frequency'!A22)</f>
        <v>0</v>
      </c>
      <c r="C22">
        <f>COUNTIF(Sheet2!$E$12:$M$21,'Subbasin group frequency'!A22)</f>
        <v>0</v>
      </c>
      <c r="D22">
        <f>COUNTIF(Sheet2!$E$22:$AF$31,'Subbasin group frequency'!A22)</f>
        <v>0</v>
      </c>
      <c r="E22">
        <f>COUNTIF(Sheet2!$E$32:$XFD$41,'Subbasin group frequency'!A22)</f>
        <v>0</v>
      </c>
      <c r="F22">
        <f>COUNTIF(Sheet2!$E$42:$AB$51,'Subbasin group frequency'!A22)</f>
        <v>0</v>
      </c>
      <c r="G22">
        <f>COUNTIF(Sheet2!$E$52:$L$61,'Subbasin group frequency'!A22)</f>
        <v>0</v>
      </c>
    </row>
    <row r="23" spans="1:7" x14ac:dyDescent="0.25">
      <c r="A23">
        <v>22</v>
      </c>
      <c r="B23">
        <f>COUNTIF(Sheet2!$F$2:$Z$11,'Subbasin group frequency'!A23)</f>
        <v>0</v>
      </c>
      <c r="C23">
        <f>COUNTIF(Sheet2!$E$12:$M$21,'Subbasin group frequency'!A23)</f>
        <v>0</v>
      </c>
      <c r="D23">
        <f>COUNTIF(Sheet2!$E$22:$AF$31,'Subbasin group frequency'!A23)</f>
        <v>0</v>
      </c>
      <c r="E23">
        <f>COUNTIF(Sheet2!$E$32:$XFD$41,'Subbasin group frequency'!A23)</f>
        <v>0</v>
      </c>
      <c r="F23">
        <f>COUNTIF(Sheet2!$E$42:$AB$51,'Subbasin group frequency'!A23)</f>
        <v>0</v>
      </c>
      <c r="G23">
        <f>COUNTIF(Sheet2!$E$52:$L$61,'Subbasin group frequency'!A23)</f>
        <v>0</v>
      </c>
    </row>
    <row r="24" spans="1:7" x14ac:dyDescent="0.25">
      <c r="A24" t="s">
        <v>94</v>
      </c>
      <c r="B24">
        <f>COUNTIF(Sheet2!$F$2:$Z$11,'Subbasin group frequency'!A24)</f>
        <v>0</v>
      </c>
      <c r="C24">
        <f>COUNTIF(Sheet2!$E$12:$M$21,'Subbasin group frequency'!A24)</f>
        <v>0</v>
      </c>
      <c r="D24">
        <f>COUNTIF(Sheet2!$E$22:$AF$31,'Subbasin group frequency'!A24)</f>
        <v>0</v>
      </c>
      <c r="E24">
        <f>COUNTIF(Sheet2!$E$32:$XFD$41,'Subbasin group frequency'!A24)</f>
        <v>0</v>
      </c>
      <c r="F24">
        <f>COUNTIF(Sheet2!$E$42:$AB$51,'Subbasin group frequency'!A24)</f>
        <v>0</v>
      </c>
      <c r="G24">
        <f>COUNTIF(Sheet2!$E$52:$L$61,'Subbasin group frequency'!A24)</f>
        <v>0</v>
      </c>
    </row>
    <row r="25" spans="1:7" x14ac:dyDescent="0.25">
      <c r="A25" t="s">
        <v>95</v>
      </c>
      <c r="B25">
        <f>COUNTIF(Sheet2!$F$2:$Z$11,'Subbasin group frequency'!A25)</f>
        <v>0</v>
      </c>
      <c r="C25">
        <f>COUNTIF(Sheet2!$E$12:$M$21,'Subbasin group frequency'!A25)</f>
        <v>0</v>
      </c>
      <c r="D25">
        <f>COUNTIF(Sheet2!$E$22:$AF$31,'Subbasin group frequency'!A25)</f>
        <v>0</v>
      </c>
      <c r="E25">
        <f>COUNTIF(Sheet2!$E$32:$XFD$41,'Subbasin group frequency'!A25)</f>
        <v>0</v>
      </c>
      <c r="F25">
        <f>COUNTIF(Sheet2!$E$42:$AB$51,'Subbasin group frequency'!A25)</f>
        <v>0</v>
      </c>
      <c r="G25">
        <f>COUNTIF(Sheet2!$E$52:$L$61,'Subbasin group frequency'!A25)</f>
        <v>0</v>
      </c>
    </row>
    <row r="26" spans="1:7" x14ac:dyDescent="0.25">
      <c r="A26" t="s">
        <v>96</v>
      </c>
      <c r="B26">
        <f>COUNTIF(Sheet2!$F$2:$Z$11,'Subbasin group frequency'!A26)</f>
        <v>0</v>
      </c>
      <c r="C26">
        <f>COUNTIF(Sheet2!$E$12:$M$21,'Subbasin group frequency'!A26)</f>
        <v>0</v>
      </c>
      <c r="D26">
        <f>COUNTIF(Sheet2!$E$22:$AF$31,'Subbasin group frequency'!A26)</f>
        <v>0</v>
      </c>
      <c r="E26">
        <f>COUNTIF(Sheet2!$E$32:$XFD$41,'Subbasin group frequency'!A26)</f>
        <v>0</v>
      </c>
      <c r="F26">
        <f>COUNTIF(Sheet2!$E$42:$AB$51,'Subbasin group frequency'!A26)</f>
        <v>0</v>
      </c>
      <c r="G26">
        <f>COUNTIF(Sheet2!$E$52:$L$61,'Subbasin group frequency'!A26)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532CA-062B-46F5-9BBC-DCB3696C5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Table1</vt:lpstr>
      <vt:lpstr>pivot for group counts</vt:lpstr>
      <vt:lpstr>Sheet2</vt:lpstr>
      <vt:lpstr>Sheet5</vt:lpstr>
      <vt:lpstr>Subbasin group 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2015-06-05T18:17:20Z</dcterms:created>
  <dcterms:modified xsi:type="dcterms:W3CDTF">2026-02-24T22:02:58Z</dcterms:modified>
</cp:coreProperties>
</file>