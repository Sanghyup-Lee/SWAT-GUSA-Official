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66CEF5CC-EAA7-4392-98BF-FB625EC0E72A}" xr6:coauthVersionLast="47" xr6:coauthVersionMax="47" xr10:uidLastSave="{00000000-0000-0000-0000-000000000000}"/>
  <bookViews>
    <workbookView xWindow="855" yWindow="1395" windowWidth="32130" windowHeight="17820" activeTab="3" xr2:uid="{00000000-000D-0000-FFFF-FFFF00000000}"/>
  </bookViews>
  <sheets>
    <sheet name="Summary" sheetId="1" r:id="rId1"/>
    <sheet name="Land_Use" sheetId="5" r:id="rId2"/>
    <sheet name="Climate" sheetId="2" r:id="rId3"/>
    <sheet name="River" sheetId="3" r:id="rId4"/>
    <sheet name="Groundwater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5" l="1"/>
  <c r="Q10" i="5"/>
  <c r="Q9" i="5"/>
  <c r="Q8" i="5"/>
  <c r="Q7" i="5"/>
  <c r="Q6" i="5"/>
  <c r="Q5" i="5"/>
  <c r="Q4" i="5"/>
  <c r="Q3" i="5"/>
  <c r="Q2" i="5"/>
  <c r="K29" i="5"/>
  <c r="K33" i="5"/>
  <c r="K28" i="5"/>
  <c r="K19" i="5"/>
  <c r="K22" i="5"/>
  <c r="K26" i="5"/>
  <c r="K21" i="5"/>
  <c r="K16" i="5"/>
  <c r="K10" i="5"/>
  <c r="K5" i="5"/>
  <c r="K30" i="5"/>
  <c r="K38" i="5"/>
  <c r="K35" i="5"/>
  <c r="K4" i="5"/>
  <c r="K15" i="5"/>
  <c r="K14" i="5"/>
  <c r="K11" i="5"/>
  <c r="K8" i="5"/>
  <c r="K6" i="5"/>
  <c r="K9" i="5"/>
  <c r="K27" i="5"/>
  <c r="K46" i="5"/>
  <c r="K36" i="5"/>
  <c r="K37" i="5"/>
  <c r="K18" i="5"/>
  <c r="K45" i="5"/>
  <c r="K25" i="5"/>
  <c r="K20" i="5"/>
  <c r="K32" i="5"/>
  <c r="K44" i="5"/>
  <c r="K43" i="5"/>
  <c r="K42" i="5"/>
  <c r="K17" i="5"/>
  <c r="K12" i="5"/>
  <c r="K39" i="5"/>
  <c r="K40" i="5"/>
  <c r="K34" i="5"/>
  <c r="K7" i="5"/>
  <c r="K13" i="5"/>
  <c r="K31" i="5"/>
  <c r="K23" i="5"/>
  <c r="K41" i="5"/>
  <c r="K3" i="5"/>
  <c r="K24" i="5"/>
  <c r="K2" i="5"/>
  <c r="P11" i="5" s="1"/>
  <c r="E3" i="5"/>
  <c r="E5" i="5"/>
  <c r="E7" i="5"/>
  <c r="E8" i="5"/>
  <c r="E9" i="5"/>
  <c r="E10" i="5"/>
  <c r="E11" i="5"/>
  <c r="E13" i="5"/>
  <c r="E15" i="5"/>
  <c r="E16" i="5"/>
  <c r="E17" i="5"/>
  <c r="E18" i="5"/>
  <c r="E19" i="5"/>
  <c r="E21" i="5"/>
  <c r="E23" i="5"/>
  <c r="E24" i="5"/>
  <c r="E25" i="5"/>
  <c r="E26" i="5"/>
  <c r="E27" i="5"/>
  <c r="E29" i="5"/>
  <c r="E31" i="5"/>
  <c r="E32" i="5"/>
  <c r="E33" i="5"/>
  <c r="E34" i="5"/>
  <c r="E35" i="5"/>
  <c r="E37" i="5"/>
  <c r="E39" i="5"/>
  <c r="E40" i="5"/>
  <c r="E41" i="5"/>
  <c r="E42" i="5"/>
  <c r="E43" i="5"/>
  <c r="E45" i="5"/>
  <c r="E2" i="5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D48" i="5"/>
  <c r="E48" i="5" s="1"/>
  <c r="E46" i="5" l="1"/>
  <c r="E38" i="5"/>
  <c r="E30" i="5"/>
  <c r="E22" i="5"/>
  <c r="E14" i="5"/>
  <c r="E6" i="5"/>
  <c r="E44" i="5"/>
  <c r="E36" i="5"/>
  <c r="E28" i="5"/>
  <c r="E20" i="5"/>
  <c r="E12" i="5"/>
  <c r="E4" i="5"/>
  <c r="Q8" i="4" l="1"/>
  <c r="P6" i="4"/>
  <c r="O6" i="4"/>
  <c r="M6" i="4"/>
  <c r="K6" i="4"/>
  <c r="P5" i="4"/>
  <c r="O5" i="4"/>
  <c r="M5" i="4"/>
  <c r="K5" i="4"/>
  <c r="P4" i="4"/>
  <c r="O4" i="4"/>
  <c r="M4" i="4"/>
  <c r="K4" i="4"/>
  <c r="P3" i="4"/>
  <c r="O3" i="4"/>
  <c r="M3" i="4"/>
  <c r="K3" i="4"/>
  <c r="P2" i="4"/>
  <c r="O2" i="4"/>
  <c r="M2" i="4"/>
  <c r="K2" i="4"/>
  <c r="Y37" i="3"/>
  <c r="X34" i="3"/>
  <c r="W34" i="3"/>
  <c r="U34" i="3"/>
  <c r="S34" i="3"/>
  <c r="M34" i="3"/>
  <c r="L34" i="3"/>
  <c r="X33" i="3"/>
  <c r="W33" i="3"/>
  <c r="U33" i="3"/>
  <c r="S33" i="3"/>
  <c r="M33" i="3"/>
  <c r="L33" i="3"/>
  <c r="Y28" i="3"/>
  <c r="X25" i="3"/>
  <c r="W25" i="3"/>
  <c r="U25" i="3"/>
  <c r="S25" i="3"/>
  <c r="M25" i="3"/>
  <c r="L25" i="3"/>
  <c r="X24" i="3"/>
  <c r="W24" i="3"/>
  <c r="U24" i="3"/>
  <c r="S24" i="3"/>
  <c r="M24" i="3"/>
  <c r="L24" i="3"/>
  <c r="X23" i="3"/>
  <c r="W23" i="3"/>
  <c r="U23" i="3"/>
  <c r="S23" i="3"/>
  <c r="M23" i="3"/>
  <c r="L23" i="3"/>
  <c r="X22" i="3"/>
  <c r="W22" i="3"/>
  <c r="U22" i="3"/>
  <c r="S22" i="3"/>
  <c r="M22" i="3"/>
  <c r="L22" i="3"/>
  <c r="X21" i="3"/>
  <c r="W21" i="3"/>
  <c r="U21" i="3"/>
  <c r="S21" i="3"/>
  <c r="M21" i="3"/>
  <c r="L21" i="3"/>
  <c r="X20" i="3"/>
  <c r="W20" i="3"/>
  <c r="U20" i="3"/>
  <c r="S20" i="3"/>
  <c r="M20" i="3"/>
  <c r="L20" i="3"/>
  <c r="X19" i="3"/>
  <c r="W19" i="3"/>
  <c r="U19" i="3"/>
  <c r="S19" i="3"/>
  <c r="M19" i="3"/>
  <c r="L19" i="3"/>
  <c r="X18" i="3"/>
  <c r="W18" i="3"/>
  <c r="U18" i="3"/>
  <c r="S18" i="3"/>
  <c r="M18" i="3"/>
  <c r="L18" i="3"/>
  <c r="X17" i="3"/>
  <c r="W17" i="3"/>
  <c r="U17" i="3"/>
  <c r="S17" i="3"/>
  <c r="M17" i="3"/>
  <c r="L17" i="3"/>
  <c r="X16" i="3"/>
  <c r="W16" i="3"/>
  <c r="U16" i="3"/>
  <c r="M16" i="3"/>
  <c r="L16" i="3"/>
  <c r="X15" i="3"/>
  <c r="W15" i="3"/>
  <c r="U15" i="3"/>
  <c r="S15" i="3"/>
  <c r="M15" i="3"/>
  <c r="L15" i="3"/>
  <c r="X14" i="3"/>
  <c r="W14" i="3"/>
  <c r="U14" i="3"/>
  <c r="S14" i="3"/>
  <c r="M14" i="3"/>
  <c r="L14" i="3"/>
  <c r="X13" i="3"/>
  <c r="W13" i="3"/>
  <c r="U13" i="3"/>
  <c r="S13" i="3"/>
  <c r="M13" i="3"/>
  <c r="L13" i="3"/>
  <c r="X12" i="3"/>
  <c r="W12" i="3"/>
  <c r="U12" i="3"/>
  <c r="S12" i="3"/>
  <c r="M12" i="3"/>
  <c r="L12" i="3"/>
  <c r="X11" i="3"/>
  <c r="W11" i="3"/>
  <c r="U11" i="3"/>
  <c r="S11" i="3"/>
  <c r="M11" i="3"/>
  <c r="L11" i="3"/>
  <c r="X10" i="3"/>
  <c r="W10" i="3"/>
  <c r="U10" i="3"/>
  <c r="S10" i="3"/>
  <c r="M10" i="3"/>
  <c r="L10" i="3"/>
  <c r="M9" i="3"/>
  <c r="L9" i="3"/>
  <c r="X8" i="3"/>
  <c r="W8" i="3"/>
  <c r="U8" i="3"/>
  <c r="S8" i="3"/>
  <c r="M8" i="3"/>
  <c r="L8" i="3"/>
  <c r="X7" i="3"/>
  <c r="W7" i="3"/>
  <c r="U7" i="3"/>
  <c r="S7" i="3"/>
  <c r="M7" i="3"/>
  <c r="L7" i="3"/>
  <c r="X6" i="3"/>
  <c r="W6" i="3"/>
  <c r="U6" i="3"/>
  <c r="S6" i="3"/>
  <c r="M6" i="3"/>
  <c r="L6" i="3"/>
  <c r="X5" i="3"/>
  <c r="W5" i="3"/>
  <c r="U5" i="3"/>
  <c r="S5" i="3"/>
  <c r="M5" i="3"/>
  <c r="L5" i="3"/>
  <c r="X4" i="3"/>
  <c r="W4" i="3"/>
  <c r="U4" i="3"/>
  <c r="S4" i="3"/>
  <c r="M4" i="3"/>
  <c r="L4" i="3"/>
  <c r="X3" i="3"/>
  <c r="W3" i="3"/>
  <c r="U3" i="3"/>
  <c r="S3" i="3"/>
  <c r="M3" i="3"/>
  <c r="L3" i="3"/>
  <c r="X2" i="3"/>
  <c r="W2" i="3"/>
  <c r="Y30" i="3" s="1"/>
  <c r="U2" i="3"/>
  <c r="Y29" i="3" s="1"/>
  <c r="S2" i="3"/>
  <c r="M2" i="3"/>
  <c r="L2" i="3"/>
  <c r="Q9" i="4" l="1"/>
  <c r="Q10" i="4"/>
  <c r="Y38" i="3"/>
  <c r="Y39" i="3"/>
  <c r="V64" i="2"/>
  <c r="U64" i="2"/>
  <c r="T64" i="2"/>
  <c r="S64" i="2"/>
  <c r="R64" i="2"/>
  <c r="Q64" i="2"/>
  <c r="P62" i="2"/>
  <c r="O62" i="2"/>
  <c r="M62" i="2"/>
  <c r="P61" i="2"/>
  <c r="O61" i="2"/>
  <c r="M61" i="2"/>
  <c r="P60" i="2"/>
  <c r="O60" i="2"/>
  <c r="M60" i="2"/>
  <c r="P59" i="2"/>
  <c r="O59" i="2"/>
  <c r="M59" i="2"/>
  <c r="P58" i="2"/>
  <c r="O58" i="2"/>
  <c r="M58" i="2"/>
  <c r="P57" i="2"/>
  <c r="O57" i="2"/>
  <c r="M57" i="2"/>
  <c r="P56" i="2"/>
  <c r="O56" i="2"/>
  <c r="M56" i="2"/>
  <c r="P55" i="2"/>
  <c r="O55" i="2"/>
  <c r="M55" i="2"/>
  <c r="P54" i="2"/>
  <c r="O54" i="2"/>
  <c r="M54" i="2"/>
  <c r="P53" i="2"/>
  <c r="O53" i="2"/>
  <c r="M53" i="2"/>
  <c r="P52" i="2"/>
  <c r="O52" i="2"/>
  <c r="M52" i="2"/>
  <c r="P51" i="2"/>
  <c r="O51" i="2"/>
  <c r="M51" i="2"/>
  <c r="P50" i="2"/>
  <c r="O50" i="2"/>
  <c r="M50" i="2"/>
  <c r="P49" i="2"/>
  <c r="O49" i="2"/>
  <c r="M49" i="2"/>
  <c r="P48" i="2"/>
  <c r="O48" i="2"/>
  <c r="M48" i="2"/>
  <c r="P47" i="2"/>
  <c r="O47" i="2"/>
  <c r="M47" i="2"/>
  <c r="P46" i="2"/>
  <c r="O46" i="2"/>
  <c r="M46" i="2"/>
  <c r="P45" i="2"/>
  <c r="O45" i="2"/>
  <c r="M45" i="2"/>
  <c r="P44" i="2"/>
  <c r="O44" i="2"/>
  <c r="M44" i="2"/>
  <c r="P43" i="2"/>
  <c r="O43" i="2"/>
  <c r="M43" i="2"/>
  <c r="P42" i="2"/>
  <c r="O42" i="2"/>
  <c r="M42" i="2"/>
  <c r="P41" i="2"/>
  <c r="O41" i="2"/>
  <c r="M41" i="2"/>
  <c r="P40" i="2"/>
  <c r="O40" i="2"/>
  <c r="M40" i="2"/>
  <c r="P39" i="2"/>
  <c r="O39" i="2"/>
  <c r="M39" i="2"/>
  <c r="P38" i="2"/>
  <c r="O38" i="2"/>
  <c r="M38" i="2"/>
  <c r="P37" i="2"/>
  <c r="O37" i="2"/>
  <c r="M37" i="2"/>
  <c r="P36" i="2"/>
  <c r="O36" i="2"/>
  <c r="M36" i="2"/>
  <c r="P35" i="2"/>
  <c r="O35" i="2"/>
  <c r="M35" i="2"/>
  <c r="P34" i="2"/>
  <c r="O34" i="2"/>
  <c r="M34" i="2"/>
  <c r="P33" i="2"/>
  <c r="O33" i="2"/>
  <c r="M33" i="2"/>
  <c r="P32" i="2"/>
  <c r="O32" i="2"/>
  <c r="M32" i="2"/>
  <c r="P31" i="2"/>
  <c r="O31" i="2"/>
  <c r="M31" i="2"/>
  <c r="P30" i="2"/>
  <c r="O30" i="2"/>
  <c r="M30" i="2"/>
  <c r="P29" i="2"/>
  <c r="O29" i="2"/>
  <c r="M29" i="2"/>
  <c r="P28" i="2"/>
  <c r="O28" i="2"/>
  <c r="M28" i="2"/>
  <c r="P27" i="2"/>
  <c r="O27" i="2"/>
  <c r="M27" i="2"/>
  <c r="P26" i="2"/>
  <c r="O26" i="2"/>
  <c r="M26" i="2"/>
  <c r="P25" i="2"/>
  <c r="O25" i="2"/>
  <c r="M25" i="2"/>
  <c r="P24" i="2"/>
  <c r="O24" i="2"/>
  <c r="M24" i="2"/>
  <c r="P23" i="2"/>
  <c r="O23" i="2"/>
  <c r="M23" i="2"/>
  <c r="P22" i="2"/>
  <c r="O22" i="2"/>
  <c r="M22" i="2"/>
  <c r="P21" i="2"/>
  <c r="O21" i="2"/>
  <c r="M21" i="2"/>
  <c r="P20" i="2"/>
  <c r="O20" i="2"/>
  <c r="M20" i="2"/>
  <c r="P19" i="2"/>
  <c r="O19" i="2"/>
  <c r="M19" i="2"/>
  <c r="P18" i="2"/>
  <c r="O18" i="2"/>
  <c r="M18" i="2"/>
  <c r="P17" i="2"/>
  <c r="O17" i="2"/>
  <c r="M17" i="2"/>
  <c r="P16" i="2"/>
  <c r="O16" i="2"/>
  <c r="M16" i="2"/>
  <c r="P15" i="2"/>
  <c r="O15" i="2"/>
  <c r="M15" i="2"/>
  <c r="P14" i="2"/>
  <c r="O14" i="2"/>
  <c r="M14" i="2"/>
  <c r="P13" i="2"/>
  <c r="O13" i="2"/>
  <c r="M13" i="2"/>
  <c r="P12" i="2"/>
  <c r="O12" i="2"/>
  <c r="M12" i="2"/>
  <c r="P11" i="2"/>
  <c r="O11" i="2"/>
  <c r="M11" i="2"/>
  <c r="P10" i="2"/>
  <c r="O10" i="2"/>
  <c r="M10" i="2"/>
  <c r="P9" i="2"/>
  <c r="O9" i="2"/>
  <c r="M9" i="2"/>
  <c r="P8" i="2"/>
  <c r="O8" i="2"/>
  <c r="M8" i="2"/>
  <c r="P7" i="2"/>
  <c r="O7" i="2"/>
  <c r="M7" i="2"/>
  <c r="P6" i="2"/>
  <c r="O6" i="2"/>
  <c r="Q66" i="2" s="1"/>
  <c r="M6" i="2"/>
  <c r="P5" i="2"/>
  <c r="O5" i="2"/>
  <c r="M5" i="2"/>
  <c r="P4" i="2"/>
  <c r="O4" i="2"/>
  <c r="M4" i="2"/>
  <c r="P3" i="2"/>
  <c r="O3" i="2"/>
  <c r="M3" i="2"/>
  <c r="P2" i="2"/>
  <c r="O2" i="2"/>
  <c r="M2" i="2"/>
  <c r="S66" i="2" l="1"/>
  <c r="S65" i="2"/>
  <c r="V65" i="2"/>
  <c r="R65" i="2"/>
  <c r="U66" i="2"/>
  <c r="Q65" i="2"/>
  <c r="T65" i="2"/>
  <c r="V66" i="2"/>
  <c r="U65" i="2"/>
  <c r="T66" i="2"/>
  <c r="R66" i="2"/>
</calcChain>
</file>

<file path=xl/sharedStrings.xml><?xml version="1.0" encoding="utf-8"?>
<sst xmlns="http://schemas.openxmlformats.org/spreadsheetml/2006/main" count="923" uniqueCount="340">
  <si>
    <t>Resolution</t>
  </si>
  <si>
    <t>Digital Elevation Model</t>
  </si>
  <si>
    <t>30 m</t>
  </si>
  <si>
    <t>Dataset</t>
  </si>
  <si>
    <t>Item</t>
  </si>
  <si>
    <t>Source</t>
  </si>
  <si>
    <t>USGS</t>
  </si>
  <si>
    <t>Cropland Data Layer</t>
  </si>
  <si>
    <t>NASS</t>
  </si>
  <si>
    <t>1999-2016</t>
  </si>
  <si>
    <t>Topography</t>
  </si>
  <si>
    <t>Land Use \ Land Cover</t>
  </si>
  <si>
    <t>Soil</t>
  </si>
  <si>
    <t>Soil Survey Geographic Database</t>
  </si>
  <si>
    <t>USDA</t>
  </si>
  <si>
    <t>1:12,000 - 1:63,360</t>
  </si>
  <si>
    <t>1966-2015</t>
  </si>
  <si>
    <t>1999-2017</t>
  </si>
  <si>
    <t>Spatial</t>
  </si>
  <si>
    <t>Temporal</t>
  </si>
  <si>
    <t>2000-2011</t>
  </si>
  <si>
    <t>1:250,000</t>
  </si>
  <si>
    <t>State Soil Geographic Dataset</t>
  </si>
  <si>
    <t>Climate</t>
  </si>
  <si>
    <t>NOAA</t>
  </si>
  <si>
    <t>?</t>
  </si>
  <si>
    <t>ISWS</t>
  </si>
  <si>
    <t>DCP</t>
  </si>
  <si>
    <t>River Network</t>
  </si>
  <si>
    <t>Precipitation records</t>
  </si>
  <si>
    <t>Temperature records</t>
  </si>
  <si>
    <t>Wind speed records</t>
  </si>
  <si>
    <t>Solar radiation records</t>
  </si>
  <si>
    <t>Relative Humidity records</t>
  </si>
  <si>
    <t>Stream flow</t>
  </si>
  <si>
    <t>21 gauges</t>
  </si>
  <si>
    <t>Available</t>
  </si>
  <si>
    <t>Processed</t>
  </si>
  <si>
    <t>P</t>
  </si>
  <si>
    <t>O</t>
  </si>
  <si>
    <t>Water Quality</t>
  </si>
  <si>
    <t>Groundwater</t>
  </si>
  <si>
    <t>5 wells</t>
  </si>
  <si>
    <t>Monitoring wells records</t>
  </si>
  <si>
    <t>Extraction wells location</t>
  </si>
  <si>
    <t>Bedrock topography</t>
  </si>
  <si>
    <t>ISGS</t>
  </si>
  <si>
    <t>Surficial geology (strata)</t>
  </si>
  <si>
    <t>15-meter contours</t>
  </si>
  <si>
    <t>2016 layer processed.</t>
  </si>
  <si>
    <t>GIS data do not include geological profiles. Waiting for data from USGS.</t>
  </si>
  <si>
    <t>Geology</t>
  </si>
  <si>
    <t>2006-2099</t>
  </si>
  <si>
    <t>Sediment</t>
  </si>
  <si>
    <t>Fish samples location</t>
  </si>
  <si>
    <t>Other</t>
  </si>
  <si>
    <t>Reservoirs</t>
  </si>
  <si>
    <t>USACE</t>
  </si>
  <si>
    <t>Pool elevation</t>
  </si>
  <si>
    <t>Outflow</t>
  </si>
  <si>
    <t>Carlyle\Shelbyville</t>
  </si>
  <si>
    <t>1985-2017</t>
  </si>
  <si>
    <t>Station</t>
  </si>
  <si>
    <t>Code</t>
  </si>
  <si>
    <t>Name</t>
  </si>
  <si>
    <t>Geodetic Datum</t>
  </si>
  <si>
    <t>Lat</t>
  </si>
  <si>
    <t>Lon</t>
  </si>
  <si>
    <t>Lat_NAD83</t>
  </si>
  <si>
    <t>Lon_NAD83</t>
  </si>
  <si>
    <t>Sea Level Datum</t>
  </si>
  <si>
    <t>Elevation_m</t>
  </si>
  <si>
    <t>Start_date</t>
  </si>
  <si>
    <t>Start_Year</t>
  </si>
  <si>
    <t>End_date</t>
  </si>
  <si>
    <t>End_Year</t>
  </si>
  <si>
    <t>Years</t>
  </si>
  <si>
    <t>P_Avail</t>
  </si>
  <si>
    <t>Tmax_Avail</t>
  </si>
  <si>
    <t>Tmin_Avail</t>
  </si>
  <si>
    <t>USC00117636</t>
  </si>
  <si>
    <t>SALEM, IL US</t>
  </si>
  <si>
    <t>WGS84</t>
  </si>
  <si>
    <t>NAD83</t>
  </si>
  <si>
    <t>UNKNOWN</t>
  </si>
  <si>
    <t>USC00116642</t>
  </si>
  <si>
    <t>PATOKA, IL US</t>
  </si>
  <si>
    <t>USC00115917</t>
  </si>
  <si>
    <t>MOUNT OLIVE 1 E, IL US</t>
  </si>
  <si>
    <t>USC00115539</t>
  </si>
  <si>
    <t>MEDORA, IL US</t>
  </si>
  <si>
    <t>USC00114756</t>
  </si>
  <si>
    <t>KINMUNDY, IL US</t>
  </si>
  <si>
    <t>USC00114400</t>
  </si>
  <si>
    <t>IUKA, IL US</t>
  </si>
  <si>
    <t>USC00114108</t>
  </si>
  <si>
    <t>HILLSBORO, IL US</t>
  </si>
  <si>
    <t>NAD27</t>
  </si>
  <si>
    <t>USC00113693</t>
  </si>
  <si>
    <t>GREENVILLE, IL US</t>
  </si>
  <si>
    <t>USC00111280</t>
  </si>
  <si>
    <t>CARLINVILLE, IL US</t>
  </si>
  <si>
    <t>USC00118932</t>
  </si>
  <si>
    <t>WALTONVILLE, IL US</t>
  </si>
  <si>
    <t>USC00116011</t>
  </si>
  <si>
    <t>NASHVILLE 1 E, IL US</t>
  </si>
  <si>
    <t>USC00115943</t>
  </si>
  <si>
    <t>MOUNT VERNON 3 NE, IL US</t>
  </si>
  <si>
    <t>USC00114089</t>
  </si>
  <si>
    <t>HIGHLAND, IL US</t>
  </si>
  <si>
    <t>USC00111386</t>
  </si>
  <si>
    <t>CENTRALIA, IL US</t>
  </si>
  <si>
    <t>USC00111290</t>
  </si>
  <si>
    <t>CARLYLE RESERVOIR, IL US</t>
  </si>
  <si>
    <t>USC00110137</t>
  </si>
  <si>
    <t>ALTON MELVIN PRICE, IL US</t>
  </si>
  <si>
    <t>USC00110050</t>
  </si>
  <si>
    <t>ALBERS 1 W, IL US</t>
  </si>
  <si>
    <t>USC00119002</t>
  </si>
  <si>
    <t>WATERLOO, IL US</t>
  </si>
  <si>
    <t>USC00116779</t>
  </si>
  <si>
    <t>PINCKNEYVILLE 2 N, IL US</t>
  </si>
  <si>
    <t>USC00112679</t>
  </si>
  <si>
    <t>EDWARDSVILLE 2 W, IL US</t>
  </si>
  <si>
    <t>USC00112483</t>
  </si>
  <si>
    <t>DU QUOIN 4 SE, IL US</t>
  </si>
  <si>
    <t>USC00111265</t>
  </si>
  <si>
    <t>CARBONDALE SEWAGE PLANT, IL US</t>
  </si>
  <si>
    <t>USW00003960</t>
  </si>
  <si>
    <t>CAHOKIA ST LOUIS DOWNTOWN AIRPORT, IL US</t>
  </si>
  <si>
    <t>USW00013802</t>
  </si>
  <si>
    <t>BELLEVILLE SIU RSRCH, IL US</t>
  </si>
  <si>
    <t>USC00111491</t>
  </si>
  <si>
    <t>CHESTER, IL US</t>
  </si>
  <si>
    <t>USC00114629</t>
  </si>
  <si>
    <t>KASKASKIA RIVER NAVIGATION LOCK, IL US</t>
  </si>
  <si>
    <t>USC00117157</t>
  </si>
  <si>
    <t>RED BUD 5 SE, IL US</t>
  </si>
  <si>
    <t>USC00118248</t>
  </si>
  <si>
    <t>STEELEVILLE, IL US</t>
  </si>
  <si>
    <t>US1ILSH0001</t>
  </si>
  <si>
    <t>SHELBYVILLE 0.5 NE, IL US</t>
  </si>
  <si>
    <t>US1ILSH0003</t>
  </si>
  <si>
    <t>MODE 3.7 NW, IL US</t>
  </si>
  <si>
    <t>USC00110500</t>
  </si>
  <si>
    <t>BEECHER CITY, IL US</t>
  </si>
  <si>
    <t>USC00112687</t>
  </si>
  <si>
    <t>EFFINGHAM, IL US</t>
  </si>
  <si>
    <t>USC00114739</t>
  </si>
  <si>
    <t>KINCAID 3 W, IL US</t>
  </si>
  <si>
    <t>USC00115841</t>
  </si>
  <si>
    <t>MORRISONVILLE, IL US</t>
  </si>
  <si>
    <t>USC00115950</t>
  </si>
  <si>
    <t>MOWEAQUA 2 S, IL US</t>
  </si>
  <si>
    <t>USC00116579</t>
  </si>
  <si>
    <t>PANA, IL US</t>
  </si>
  <si>
    <t>USC00117126</t>
  </si>
  <si>
    <t>RAMSEY, IL US</t>
  </si>
  <si>
    <t>USC00117876</t>
  </si>
  <si>
    <t>SHELBYVILLE DAM, IL US</t>
  </si>
  <si>
    <t>USC00118491</t>
  </si>
  <si>
    <t>TAYLORVILLE 2 SW, IL US</t>
  </si>
  <si>
    <t>USC00118781</t>
  </si>
  <si>
    <t>VANDALIA, IL US</t>
  </si>
  <si>
    <t>USC00119354</t>
  </si>
  <si>
    <t>WINDSOR, IL US</t>
  </si>
  <si>
    <t>USC00111436</t>
  </si>
  <si>
    <t>CHARLESTON, IL US</t>
  </si>
  <si>
    <t>USC00112193</t>
  </si>
  <si>
    <t>DECATUR WTP, IL US</t>
  </si>
  <si>
    <t>USC00113061</t>
  </si>
  <si>
    <t>FISHER, IL US</t>
  </si>
  <si>
    <t>USC00113774</t>
  </si>
  <si>
    <t>HAMMOND, IL US</t>
  </si>
  <si>
    <t>USC00115430</t>
  </si>
  <si>
    <t>MATTOON, IL US</t>
  </si>
  <si>
    <t>USC00115792</t>
  </si>
  <si>
    <t>MONTICELLO RIVER, IL US</t>
  </si>
  <si>
    <t>USC00116769</t>
  </si>
  <si>
    <t>PHILO, IL US</t>
  </si>
  <si>
    <t>USC00118389</t>
  </si>
  <si>
    <t>SULLIVAN 3 S, IL US</t>
  </si>
  <si>
    <t>USC00118684</t>
  </si>
  <si>
    <t>TUSCOLA, IL US</t>
  </si>
  <si>
    <t>USC00118740</t>
  </si>
  <si>
    <t>CHAMPAIGN 3 S, IL US</t>
  </si>
  <si>
    <t>USW00014806</t>
  </si>
  <si>
    <t>RANTOUL, IL US</t>
  </si>
  <si>
    <t>USW00053802</t>
  </si>
  <si>
    <t>MATTOON CHARLESTON COLES CO AIRPORT, IL US</t>
  </si>
  <si>
    <t>USW00094870</t>
  </si>
  <si>
    <t>CHAMPAIGN URBANA WILLARD AIRPORT, IL US</t>
  </si>
  <si>
    <t>Mean start year</t>
  </si>
  <si>
    <t>Mean end year</t>
  </si>
  <si>
    <t>No. Station: Avail. &gt; 70%</t>
  </si>
  <si>
    <t>RH_Avail</t>
  </si>
  <si>
    <t>SRAD_Avail</t>
  </si>
  <si>
    <t>WSP_Avail</t>
  </si>
  <si>
    <t>CMI</t>
  </si>
  <si>
    <t>BVL</t>
  </si>
  <si>
    <t>Bondville</t>
  </si>
  <si>
    <t>BRW</t>
  </si>
  <si>
    <t>Brownstone</t>
  </si>
  <si>
    <t>FRM</t>
  </si>
  <si>
    <t>Belleville</t>
  </si>
  <si>
    <t>RND</t>
  </si>
  <si>
    <t>Rend Lake</t>
  </si>
  <si>
    <t>LLC</t>
  </si>
  <si>
    <t>Springfield</t>
  </si>
  <si>
    <t>SIU</t>
  </si>
  <si>
    <t>Carbondale</t>
  </si>
  <si>
    <t>1972-2017</t>
  </si>
  <si>
    <t>34 stations</t>
  </si>
  <si>
    <t>52 stations</t>
  </si>
  <si>
    <t>7 stations</t>
  </si>
  <si>
    <t>1989-2017</t>
  </si>
  <si>
    <t>Bathymetry</t>
  </si>
  <si>
    <t>Champaign</t>
  </si>
  <si>
    <t>1974-2017</t>
  </si>
  <si>
    <t>2 gauges</t>
  </si>
  <si>
    <t>1980-2013</t>
  </si>
  <si>
    <t>Discontinuous data, 40-50 records per year in average.</t>
  </si>
  <si>
    <t>Section</t>
  </si>
  <si>
    <t>Lat_deg</t>
  </si>
  <si>
    <t>Lat_min</t>
  </si>
  <si>
    <t>Lat_sec</t>
  </si>
  <si>
    <t>Lon_deg</t>
  </si>
  <si>
    <t>Lon_min</t>
  </si>
  <si>
    <t>Lon_sec</t>
  </si>
  <si>
    <t>Lat_UTM16</t>
  </si>
  <si>
    <t>Lon_UTM16</t>
  </si>
  <si>
    <t>Elevation_ft</t>
  </si>
  <si>
    <t>Q_Avail</t>
  </si>
  <si>
    <t>Lower</t>
  </si>
  <si>
    <t>KASKASKIA RIVER NEAR VENEDY STATION</t>
  </si>
  <si>
    <t>NGVD29</t>
  </si>
  <si>
    <t>SILVER CREEK NEAR TROY</t>
  </si>
  <si>
    <t>SILVER CREEK NEAR FREEBURG</t>
  </si>
  <si>
    <t>KASKASKIA RIVER AT NEW ATHENS</t>
  </si>
  <si>
    <t>RICHLAND CREEK NEAR HECKER</t>
  </si>
  <si>
    <t>KASKASKIA RIVER NEAR RED BUD</t>
  </si>
  <si>
    <t>Middle</t>
  </si>
  <si>
    <t>KASKASKIA RIVER AT CARLYLE</t>
  </si>
  <si>
    <t>KASKASKIA RIVER NEAR POSEY</t>
  </si>
  <si>
    <t>-</t>
  </si>
  <si>
    <t>KASKASKIA RIVER AT VANDALIA</t>
  </si>
  <si>
    <t>HICKORY CREEK NEAR BROWNSTOWN</t>
  </si>
  <si>
    <t>HURRICANE CREEK NEAR MULBERRY GROVE</t>
  </si>
  <si>
    <t>EAST FORK KASKASKIA RIVER NEAR SANDOVAL</t>
  </si>
  <si>
    <t>CROOKED CREEK NEAR HOFFMAN</t>
  </si>
  <si>
    <t>LITTLE CROOKED CREEK NEAR NEW MINDEN</t>
  </si>
  <si>
    <t>Upper</t>
  </si>
  <si>
    <t>COPPER SLOUGH AT CHAMPAIGN</t>
  </si>
  <si>
    <t>KASKASKIA RIVER AT COOKS MILLS</t>
  </si>
  <si>
    <t>KASKASKIA RIVER BELOW FICKLIN</t>
  </si>
  <si>
    <t>NAVD88</t>
  </si>
  <si>
    <t>KASKASKIA RIVER AT CHESTERVILLE</t>
  </si>
  <si>
    <t>WHITLEY CREEK NEAR ALLENVILLE</t>
  </si>
  <si>
    <t>WEST OKAW RIVER NEAR LOVINGTON</t>
  </si>
  <si>
    <t>LAKE FORK AT ATWOOD</t>
  </si>
  <si>
    <t>KASKASKIA RIVER AT SHELBYVILLE</t>
  </si>
  <si>
    <t>ROBINSON CREEK NEAR SHELBYVILLE</t>
  </si>
  <si>
    <t>KASKASKIA RIVER NEAR COWDEN</t>
  </si>
  <si>
    <t>Sed_Avail</t>
  </si>
  <si>
    <t>No. Station: Any Avail.</t>
  </si>
  <si>
    <t>Discontinuous data, variables to be defined</t>
  </si>
  <si>
    <t>GW_Avail</t>
  </si>
  <si>
    <t>Brownstown</t>
  </si>
  <si>
    <t>St. Peter</t>
  </si>
  <si>
    <t>Sparta  / Eden</t>
  </si>
  <si>
    <t>Note</t>
  </si>
  <si>
    <t>N/A</t>
  </si>
  <si>
    <t>See Note</t>
  </si>
  <si>
    <t>2 continuous timeseries (97-00 to 17), 3 discontinuous timeseries (60-87 to 17)</t>
  </si>
  <si>
    <t>1/8 or 1/16 degree</t>
  </si>
  <si>
    <t>Climate Projections (CMIP5)</t>
  </si>
  <si>
    <t>To be defined: BCCAv2 or LOCA</t>
  </si>
  <si>
    <t>CLASS_NAME</t>
  </si>
  <si>
    <t>Corn</t>
  </si>
  <si>
    <t>AGR</t>
  </si>
  <si>
    <t>Sorghum</t>
  </si>
  <si>
    <t>Soybeans</t>
  </si>
  <si>
    <t>Sweet Corn</t>
  </si>
  <si>
    <t>Pop or Orn Corn</t>
  </si>
  <si>
    <t>Barley</t>
  </si>
  <si>
    <t>Winter Wheat</t>
  </si>
  <si>
    <t>Dbl Crop WinWht/Soybeans</t>
  </si>
  <si>
    <t>Rye</t>
  </si>
  <si>
    <t>Oats</t>
  </si>
  <si>
    <t>Millet</t>
  </si>
  <si>
    <t>Alfalfa</t>
  </si>
  <si>
    <t>Other Hay/Non Alfalfa</t>
  </si>
  <si>
    <t>Dry Beans</t>
  </si>
  <si>
    <t>Other Crops</t>
  </si>
  <si>
    <t>Misc Vegs &amp; Fruits</t>
  </si>
  <si>
    <t>Herbs</t>
  </si>
  <si>
    <t>Clover/Wildflowers</t>
  </si>
  <si>
    <t>Sod/Grass Seed</t>
  </si>
  <si>
    <t>Switchgrass</t>
  </si>
  <si>
    <t>Fallow/Idle Cropland</t>
  </si>
  <si>
    <t>Peaches</t>
  </si>
  <si>
    <t>Apples</t>
  </si>
  <si>
    <t>Christmas Trees</t>
  </si>
  <si>
    <t>Pecans</t>
  </si>
  <si>
    <t>Open Water</t>
  </si>
  <si>
    <t>WTR</t>
  </si>
  <si>
    <t>Developed/Open Space</t>
  </si>
  <si>
    <t>DEV</t>
  </si>
  <si>
    <t>Developed/Low Intensity</t>
  </si>
  <si>
    <t>Developed/Med Intensity</t>
  </si>
  <si>
    <t>Developed/High Intensity</t>
  </si>
  <si>
    <t>Barren</t>
  </si>
  <si>
    <t>Deciduous Forest</t>
  </si>
  <si>
    <t>FRT</t>
  </si>
  <si>
    <t>Evergreen Forest</t>
  </si>
  <si>
    <t>Mixed Forest</t>
  </si>
  <si>
    <t>Shrubland</t>
  </si>
  <si>
    <t>GRS</t>
  </si>
  <si>
    <t>Grass/Pasture</t>
  </si>
  <si>
    <t>Woody Wetlands</t>
  </si>
  <si>
    <t>WTL</t>
  </si>
  <si>
    <t>Herbaceous Wetlands</t>
  </si>
  <si>
    <t>Dbl Crop WinWht/Corn</t>
  </si>
  <si>
    <t>Dbl Crop Oats/Corn</t>
  </si>
  <si>
    <t>Pumpkins</t>
  </si>
  <si>
    <t>Dbl Crop WinWht/Sorghum</t>
  </si>
  <si>
    <t>Dbl Crop Barley/Corn</t>
  </si>
  <si>
    <t>Gourds</t>
  </si>
  <si>
    <t>Dbl Crop Barley/Soybeans</t>
  </si>
  <si>
    <t>Total</t>
  </si>
  <si>
    <t>SWAT_LU</t>
  </si>
  <si>
    <t>Cells_count</t>
  </si>
  <si>
    <t>LU_code</t>
  </si>
  <si>
    <t>Area%</t>
  </si>
  <si>
    <t>Land Use</t>
  </si>
  <si>
    <t>To be defined: SSURGO or STATSGO2</t>
  </si>
  <si>
    <t>Stream Discharge</t>
  </si>
  <si>
    <t>Sediments</t>
  </si>
  <si>
    <t>72 points</t>
  </si>
  <si>
    <t>Only wells reported as WET. Wells type need to be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</si>
</sst>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"/>
    <numFmt numFmtId="166" formatCode="0.00000000000"/>
    <numFmt numFmtId="167" formatCode="0.0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Wingdings 2"/>
      <family val="1"/>
      <charset val="2"/>
    </font>
    <font>
      <sz val="11"/>
      <color rgb="FFFF0000"/>
      <name val="Wingdings 2"/>
      <family val="1"/>
      <charset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0" fontId="0" fillId="0" borderId="13" xfId="1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0" fontId="0" fillId="0" borderId="17" xfId="1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0" fontId="0" fillId="0" borderId="27" xfId="1" applyNumberFormat="1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9" fontId="8" fillId="0" borderId="0" xfId="1" applyFont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167" fontId="0" fillId="0" borderId="1" xfId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16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8" xfId="0" applyBorder="1" applyAlignment="1">
      <alignment horizontal="center" vertical="center" textRotation="90"/>
    </xf>
  </cellXfs>
  <cellStyles count="2">
    <cellStyle name="Normal" xfId="0" builtinId="0"/>
    <cellStyle name="Percent" xfId="1" builtinId="5"/>
  </cellStyles>
  <dxfs count="1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Land Use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Land_Use!$Q$1</c:f>
              <c:strCache>
                <c:ptCount val="1"/>
                <c:pt idx="0">
                  <c:v>Area%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Land_Use!$O$2:$O$11</c:f>
              <c:strCache>
                <c:ptCount val="10"/>
                <c:pt idx="0">
                  <c:v>Corn</c:v>
                </c:pt>
                <c:pt idx="1">
                  <c:v>Soybeans</c:v>
                </c:pt>
                <c:pt idx="2">
                  <c:v>Deciduous Forest</c:v>
                </c:pt>
                <c:pt idx="3">
                  <c:v>Grass/Pasture</c:v>
                </c:pt>
                <c:pt idx="4">
                  <c:v>Developed/Open Space</c:v>
                </c:pt>
                <c:pt idx="5">
                  <c:v>Dbl Crop WinWht/Soybeans</c:v>
                </c:pt>
                <c:pt idx="6">
                  <c:v>Developed/Low Intensity</c:v>
                </c:pt>
                <c:pt idx="7">
                  <c:v>Open Water</c:v>
                </c:pt>
                <c:pt idx="8">
                  <c:v>Woody Wetlands</c:v>
                </c:pt>
                <c:pt idx="9">
                  <c:v>Other</c:v>
                </c:pt>
              </c:strCache>
            </c:strRef>
          </c:cat>
          <c:val>
            <c:numRef>
              <c:f>Land_Use!$Q$2:$Q$11</c:f>
              <c:numCache>
                <c:formatCode>0.0000%</c:formatCode>
                <c:ptCount val="10"/>
                <c:pt idx="0">
                  <c:v>0.29765021829273364</c:v>
                </c:pt>
                <c:pt idx="1">
                  <c:v>0.29130634358065854</c:v>
                </c:pt>
                <c:pt idx="2">
                  <c:v>0.16045030516454606</c:v>
                </c:pt>
                <c:pt idx="3">
                  <c:v>8.7713765659625367E-2</c:v>
                </c:pt>
                <c:pt idx="4">
                  <c:v>4.801593986137357E-2</c:v>
                </c:pt>
                <c:pt idx="5">
                  <c:v>3.2311321306704249E-2</c:v>
                </c:pt>
                <c:pt idx="6">
                  <c:v>3.2148091595632235E-2</c:v>
                </c:pt>
                <c:pt idx="7">
                  <c:v>1.8835808493862054E-2</c:v>
                </c:pt>
                <c:pt idx="8">
                  <c:v>1.3591573938288247E-2</c:v>
                </c:pt>
                <c:pt idx="9">
                  <c:v>1.7976632106576046E-2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0-48BE-80F3-8DF1C3433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562661216"/>
        <c:axId val="1562659552"/>
      </c:barChart>
      <c:catAx>
        <c:axId val="156266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59552"/>
        <c:crosses val="autoZero"/>
        <c:auto val="1"/>
        <c:lblAlgn val="ctr"/>
        <c:lblOffset val="100"/>
        <c:noMultiLvlLbl val="0"/>
      </c:catAx>
      <c:valAx>
        <c:axId val="15626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66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 Land</a:t>
            </a:r>
            <a:r>
              <a:rPr lang="en-US" baseline="0"/>
              <a:t> Use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Land_Use!$D$51:$D$56</c:f>
              <c:strCache>
                <c:ptCount val="6"/>
                <c:pt idx="0">
                  <c:v>AGR</c:v>
                </c:pt>
                <c:pt idx="1">
                  <c:v>FRT</c:v>
                </c:pt>
                <c:pt idx="2">
                  <c:v>DEV</c:v>
                </c:pt>
                <c:pt idx="3">
                  <c:v>GRS</c:v>
                </c:pt>
                <c:pt idx="4">
                  <c:v>WTR</c:v>
                </c:pt>
                <c:pt idx="5">
                  <c:v>WTL</c:v>
                </c:pt>
              </c:strCache>
            </c:strRef>
          </c:cat>
          <c:val>
            <c:numRef>
              <c:f>Land_Use!$F$51:$F$56</c:f>
              <c:numCache>
                <c:formatCode>0%</c:formatCode>
                <c:ptCount val="6"/>
                <c:pt idx="0">
                  <c:v>0.62953096722665458</c:v>
                </c:pt>
                <c:pt idx="1">
                  <c:v>0.16045252556870401</c:v>
                </c:pt>
                <c:pt idx="2">
                  <c:v>8.9423236817565532E-2</c:v>
                </c:pt>
                <c:pt idx="3">
                  <c:v>8.7716166096552889E-2</c:v>
                </c:pt>
                <c:pt idx="4">
                  <c:v>1.8835808493862054E-2</c:v>
                </c:pt>
                <c:pt idx="5">
                  <c:v>1.4041295796660908E-2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E-4151-8741-0F9491F65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665599"/>
        <c:axId val="385665183"/>
      </c:barChart>
      <c:catAx>
        <c:axId val="38566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665183"/>
        <c:crosses val="autoZero"/>
        <c:auto val="1"/>
        <c:lblAlgn val="ctr"/>
        <c:lblOffset val="100"/>
        <c:noMultiLvlLbl val="0"/>
      </c:catAx>
      <c:valAx>
        <c:axId val="3856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66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12</xdr:row>
      <xdr:rowOff>0</xdr:rowOff>
    </xdr:from>
    <xdr:to>
      <xdr:col>18</xdr:col>
      <xdr:colOff>219075</xdr:colOff>
      <xdr:row>26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27</xdr:row>
      <xdr:rowOff>0</xdr:rowOff>
    </xdr:from>
    <xdr:to>
      <xdr:col>18</xdr:col>
      <xdr:colOff>219075</xdr:colOff>
      <xdr:row>41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selection activeCell="H26" sqref="H26"/>
    </sheetView>
  </sheetViews>
  <sheetFormatPr defaultRowHeight="15" x14ac:dyDescent="0.25"/>
  <cols>
    <col min="1" max="1" width="7.28515625" style="1" customWidth="1"/>
    <col min="2" max="2" width="30.42578125" style="2" bestFit="1" customWidth="1"/>
    <col min="3" max="3" width="18.85546875" style="1" bestFit="1" customWidth="1"/>
    <col min="4" max="7" width="10.7109375" style="1" customWidth="1"/>
    <col min="8" max="8" width="71.5703125" style="1" bestFit="1" customWidth="1"/>
    <col min="9" max="16384" width="9.140625" style="1"/>
  </cols>
  <sheetData>
    <row r="1" spans="1:8" x14ac:dyDescent="0.25">
      <c r="A1" s="86" t="s">
        <v>4</v>
      </c>
      <c r="B1" s="86" t="s">
        <v>3</v>
      </c>
      <c r="C1" s="86" t="s">
        <v>0</v>
      </c>
      <c r="D1" s="86"/>
      <c r="E1" s="86" t="s">
        <v>5</v>
      </c>
      <c r="F1" s="86" t="s">
        <v>36</v>
      </c>
      <c r="G1" s="86" t="s">
        <v>37</v>
      </c>
      <c r="H1" s="86" t="s">
        <v>270</v>
      </c>
    </row>
    <row r="2" spans="1:8" x14ac:dyDescent="0.25">
      <c r="A2" s="86"/>
      <c r="B2" s="86"/>
      <c r="C2" s="58" t="s">
        <v>18</v>
      </c>
      <c r="D2" s="58" t="s">
        <v>19</v>
      </c>
      <c r="E2" s="86"/>
      <c r="F2" s="86"/>
      <c r="G2" s="86"/>
      <c r="H2" s="86"/>
    </row>
    <row r="3" spans="1:8" x14ac:dyDescent="0.25">
      <c r="A3" s="85" t="s">
        <v>10</v>
      </c>
      <c r="B3" s="85"/>
      <c r="C3" s="85"/>
      <c r="D3" s="85"/>
      <c r="E3" s="85"/>
      <c r="F3" s="85"/>
      <c r="G3" s="85"/>
      <c r="H3" s="85"/>
    </row>
    <row r="4" spans="1:8" x14ac:dyDescent="0.25">
      <c r="A4" s="59">
        <v>1</v>
      </c>
      <c r="B4" s="60" t="s">
        <v>1</v>
      </c>
      <c r="C4" s="59" t="s">
        <v>2</v>
      </c>
      <c r="D4" s="59" t="s">
        <v>16</v>
      </c>
      <c r="E4" s="59" t="s">
        <v>6</v>
      </c>
      <c r="F4" s="61" t="s">
        <v>38</v>
      </c>
      <c r="G4" s="61" t="s">
        <v>38</v>
      </c>
      <c r="H4" s="60"/>
    </row>
    <row r="5" spans="1:8" x14ac:dyDescent="0.25">
      <c r="A5" s="85" t="s">
        <v>11</v>
      </c>
      <c r="B5" s="85"/>
      <c r="C5" s="85"/>
      <c r="D5" s="85"/>
      <c r="E5" s="85"/>
      <c r="F5" s="85"/>
      <c r="G5" s="85"/>
      <c r="H5" s="85"/>
    </row>
    <row r="6" spans="1:8" x14ac:dyDescent="0.25">
      <c r="A6" s="59">
        <v>2</v>
      </c>
      <c r="B6" s="60" t="s">
        <v>7</v>
      </c>
      <c r="C6" s="59" t="s">
        <v>2</v>
      </c>
      <c r="D6" s="59" t="s">
        <v>9</v>
      </c>
      <c r="E6" s="59" t="s">
        <v>8</v>
      </c>
      <c r="F6" s="61" t="s">
        <v>38</v>
      </c>
      <c r="G6" s="61" t="s">
        <v>38</v>
      </c>
      <c r="H6" s="60" t="s">
        <v>49</v>
      </c>
    </row>
    <row r="7" spans="1:8" x14ac:dyDescent="0.25">
      <c r="A7" s="85" t="s">
        <v>12</v>
      </c>
      <c r="B7" s="85"/>
      <c r="C7" s="85"/>
      <c r="D7" s="85"/>
      <c r="E7" s="85"/>
      <c r="F7" s="85"/>
      <c r="G7" s="85"/>
      <c r="H7" s="85"/>
    </row>
    <row r="8" spans="1:8" x14ac:dyDescent="0.25">
      <c r="A8" s="87">
        <v>3</v>
      </c>
      <c r="B8" s="60" t="s">
        <v>13</v>
      </c>
      <c r="C8" s="59" t="s">
        <v>15</v>
      </c>
      <c r="D8" s="59" t="s">
        <v>17</v>
      </c>
      <c r="E8" s="59" t="s">
        <v>14</v>
      </c>
      <c r="F8" s="61" t="s">
        <v>38</v>
      </c>
      <c r="G8" s="61" t="s">
        <v>38</v>
      </c>
      <c r="H8" s="88" t="s">
        <v>335</v>
      </c>
    </row>
    <row r="9" spans="1:8" x14ac:dyDescent="0.25">
      <c r="A9" s="87"/>
      <c r="B9" s="60" t="s">
        <v>22</v>
      </c>
      <c r="C9" s="59" t="s">
        <v>21</v>
      </c>
      <c r="D9" s="59" t="s">
        <v>20</v>
      </c>
      <c r="E9" s="59" t="s">
        <v>14</v>
      </c>
      <c r="F9" s="61" t="s">
        <v>38</v>
      </c>
      <c r="G9" s="61" t="s">
        <v>38</v>
      </c>
      <c r="H9" s="88"/>
    </row>
    <row r="10" spans="1:8" x14ac:dyDescent="0.25">
      <c r="A10" s="85" t="s">
        <v>23</v>
      </c>
      <c r="B10" s="85"/>
      <c r="C10" s="85"/>
      <c r="D10" s="85"/>
      <c r="E10" s="85"/>
      <c r="F10" s="85"/>
      <c r="G10" s="85"/>
      <c r="H10" s="85"/>
    </row>
    <row r="11" spans="1:8" x14ac:dyDescent="0.25">
      <c r="A11" s="59">
        <v>4</v>
      </c>
      <c r="B11" s="60" t="s">
        <v>29</v>
      </c>
      <c r="C11" s="59" t="s">
        <v>213</v>
      </c>
      <c r="D11" s="59" t="s">
        <v>211</v>
      </c>
      <c r="E11" s="59" t="s">
        <v>24</v>
      </c>
      <c r="F11" s="61" t="s">
        <v>38</v>
      </c>
      <c r="G11" s="62" t="s">
        <v>39</v>
      </c>
      <c r="H11" s="60"/>
    </row>
    <row r="12" spans="1:8" x14ac:dyDescent="0.25">
      <c r="A12" s="59">
        <v>5</v>
      </c>
      <c r="B12" s="60" t="s">
        <v>30</v>
      </c>
      <c r="C12" s="59" t="s">
        <v>212</v>
      </c>
      <c r="D12" s="59" t="s">
        <v>211</v>
      </c>
      <c r="E12" s="59" t="s">
        <v>24</v>
      </c>
      <c r="F12" s="61" t="s">
        <v>38</v>
      </c>
      <c r="G12" s="62" t="s">
        <v>39</v>
      </c>
      <c r="H12" s="60"/>
    </row>
    <row r="13" spans="1:8" x14ac:dyDescent="0.25">
      <c r="A13" s="59">
        <v>6</v>
      </c>
      <c r="B13" s="60" t="s">
        <v>33</v>
      </c>
      <c r="C13" s="63" t="s">
        <v>214</v>
      </c>
      <c r="D13" s="63" t="s">
        <v>215</v>
      </c>
      <c r="E13" s="59" t="s">
        <v>26</v>
      </c>
      <c r="F13" s="61" t="s">
        <v>38</v>
      </c>
      <c r="G13" s="62" t="s">
        <v>39</v>
      </c>
      <c r="H13" s="60"/>
    </row>
    <row r="14" spans="1:8" x14ac:dyDescent="0.25">
      <c r="A14" s="59">
        <v>7</v>
      </c>
      <c r="B14" s="60" t="s">
        <v>32</v>
      </c>
      <c r="C14" s="63" t="s">
        <v>214</v>
      </c>
      <c r="D14" s="63" t="s">
        <v>215</v>
      </c>
      <c r="E14" s="59" t="s">
        <v>26</v>
      </c>
      <c r="F14" s="61" t="s">
        <v>38</v>
      </c>
      <c r="G14" s="62" t="s">
        <v>39</v>
      </c>
      <c r="H14" s="60"/>
    </row>
    <row r="15" spans="1:8" x14ac:dyDescent="0.25">
      <c r="A15" s="59">
        <v>8</v>
      </c>
      <c r="B15" s="60" t="s">
        <v>31</v>
      </c>
      <c r="C15" s="63" t="s">
        <v>214</v>
      </c>
      <c r="D15" s="63" t="s">
        <v>215</v>
      </c>
      <c r="E15" s="59" t="s">
        <v>26</v>
      </c>
      <c r="F15" s="61" t="s">
        <v>38</v>
      </c>
      <c r="G15" s="62" t="s">
        <v>39</v>
      </c>
      <c r="H15" s="60"/>
    </row>
    <row r="16" spans="1:8" x14ac:dyDescent="0.25">
      <c r="A16" s="59">
        <v>9</v>
      </c>
      <c r="B16" s="60" t="s">
        <v>275</v>
      </c>
      <c r="C16" s="59" t="s">
        <v>274</v>
      </c>
      <c r="D16" s="59" t="s">
        <v>52</v>
      </c>
      <c r="E16" s="59" t="s">
        <v>27</v>
      </c>
      <c r="F16" s="62" t="s">
        <v>39</v>
      </c>
      <c r="G16" s="62" t="s">
        <v>39</v>
      </c>
      <c r="H16" s="60" t="s">
        <v>276</v>
      </c>
    </row>
    <row r="17" spans="1:8" x14ac:dyDescent="0.25">
      <c r="A17" s="85" t="s">
        <v>28</v>
      </c>
      <c r="B17" s="85"/>
      <c r="C17" s="85"/>
      <c r="D17" s="85"/>
      <c r="E17" s="85"/>
      <c r="F17" s="85"/>
      <c r="G17" s="85"/>
      <c r="H17" s="85"/>
    </row>
    <row r="18" spans="1:8" x14ac:dyDescent="0.25">
      <c r="A18" s="59">
        <v>10</v>
      </c>
      <c r="B18" s="60" t="s">
        <v>34</v>
      </c>
      <c r="C18" s="59" t="s">
        <v>35</v>
      </c>
      <c r="D18" s="59" t="s">
        <v>218</v>
      </c>
      <c r="E18" s="59" t="s">
        <v>6</v>
      </c>
      <c r="F18" s="61" t="s">
        <v>38</v>
      </c>
      <c r="G18" s="62" t="s">
        <v>39</v>
      </c>
      <c r="H18" s="60"/>
    </row>
    <row r="19" spans="1:8" x14ac:dyDescent="0.25">
      <c r="A19" s="59">
        <v>11</v>
      </c>
      <c r="B19" s="60" t="s">
        <v>53</v>
      </c>
      <c r="C19" s="63" t="s">
        <v>219</v>
      </c>
      <c r="D19" s="63" t="s">
        <v>220</v>
      </c>
      <c r="E19" s="59" t="s">
        <v>26</v>
      </c>
      <c r="F19" s="61" t="s">
        <v>38</v>
      </c>
      <c r="G19" s="62" t="s">
        <v>39</v>
      </c>
      <c r="H19" s="60" t="s">
        <v>221</v>
      </c>
    </row>
    <row r="20" spans="1:8" x14ac:dyDescent="0.25">
      <c r="A20" s="59">
        <v>12</v>
      </c>
      <c r="B20" s="60" t="s">
        <v>40</v>
      </c>
      <c r="C20" s="64" t="s">
        <v>25</v>
      </c>
      <c r="D20" s="64" t="s">
        <v>25</v>
      </c>
      <c r="E20" s="59" t="s">
        <v>6</v>
      </c>
      <c r="F20" s="62" t="s">
        <v>39</v>
      </c>
      <c r="G20" s="62" t="s">
        <v>39</v>
      </c>
      <c r="H20" s="60" t="s">
        <v>265</v>
      </c>
    </row>
    <row r="21" spans="1:8" x14ac:dyDescent="0.25">
      <c r="A21" s="85" t="s">
        <v>41</v>
      </c>
      <c r="B21" s="85"/>
      <c r="C21" s="85"/>
      <c r="D21" s="85"/>
      <c r="E21" s="85"/>
      <c r="F21" s="85"/>
      <c r="G21" s="85"/>
      <c r="H21" s="85"/>
    </row>
    <row r="22" spans="1:8" x14ac:dyDescent="0.25">
      <c r="A22" s="59">
        <v>13</v>
      </c>
      <c r="B22" s="60" t="s">
        <v>43</v>
      </c>
      <c r="C22" s="59" t="s">
        <v>42</v>
      </c>
      <c r="D22" s="63" t="s">
        <v>272</v>
      </c>
      <c r="E22" s="59" t="s">
        <v>6</v>
      </c>
      <c r="F22" s="61" t="s">
        <v>38</v>
      </c>
      <c r="G22" s="62" t="s">
        <v>39</v>
      </c>
      <c r="H22" s="60" t="s">
        <v>273</v>
      </c>
    </row>
    <row r="23" spans="1:8" x14ac:dyDescent="0.25">
      <c r="A23" s="59">
        <v>14</v>
      </c>
      <c r="B23" s="60" t="s">
        <v>44</v>
      </c>
      <c r="C23" s="63">
        <v>21359</v>
      </c>
      <c r="D23" s="63" t="s">
        <v>271</v>
      </c>
      <c r="E23" s="59" t="s">
        <v>6</v>
      </c>
      <c r="F23" s="61" t="s">
        <v>38</v>
      </c>
      <c r="G23" s="61" t="s">
        <v>38</v>
      </c>
      <c r="H23" s="60" t="s">
        <v>339</v>
      </c>
    </row>
    <row r="24" spans="1:8" x14ac:dyDescent="0.25">
      <c r="A24" s="85" t="s">
        <v>51</v>
      </c>
      <c r="B24" s="85"/>
      <c r="C24" s="85"/>
      <c r="D24" s="85"/>
      <c r="E24" s="85"/>
      <c r="F24" s="85"/>
      <c r="G24" s="85"/>
      <c r="H24" s="85"/>
    </row>
    <row r="25" spans="1:8" x14ac:dyDescent="0.25">
      <c r="A25" s="59">
        <v>15</v>
      </c>
      <c r="B25" s="60" t="s">
        <v>45</v>
      </c>
      <c r="C25" s="59" t="s">
        <v>48</v>
      </c>
      <c r="D25" s="63">
        <v>1994</v>
      </c>
      <c r="E25" s="59" t="s">
        <v>46</v>
      </c>
      <c r="F25" s="61" t="s">
        <v>38</v>
      </c>
      <c r="G25" s="61" t="s">
        <v>38</v>
      </c>
      <c r="H25" s="60"/>
    </row>
    <row r="26" spans="1:8" x14ac:dyDescent="0.25">
      <c r="A26" s="59">
        <v>16</v>
      </c>
      <c r="B26" s="60" t="s">
        <v>47</v>
      </c>
      <c r="C26" s="64" t="s">
        <v>25</v>
      </c>
      <c r="D26" s="64" t="s">
        <v>25</v>
      </c>
      <c r="E26" s="59" t="s">
        <v>46</v>
      </c>
      <c r="F26" s="61" t="s">
        <v>38</v>
      </c>
      <c r="G26" s="62" t="s">
        <v>39</v>
      </c>
      <c r="H26" s="60" t="s">
        <v>50</v>
      </c>
    </row>
    <row r="27" spans="1:8" x14ac:dyDescent="0.25">
      <c r="A27" s="85" t="s">
        <v>56</v>
      </c>
      <c r="B27" s="85"/>
      <c r="C27" s="85"/>
      <c r="D27" s="85"/>
      <c r="E27" s="85"/>
      <c r="F27" s="85"/>
      <c r="G27" s="85"/>
      <c r="H27" s="85"/>
    </row>
    <row r="28" spans="1:8" x14ac:dyDescent="0.25">
      <c r="A28" s="59">
        <v>17</v>
      </c>
      <c r="B28" s="60" t="s">
        <v>58</v>
      </c>
      <c r="C28" s="63" t="s">
        <v>60</v>
      </c>
      <c r="D28" s="63" t="s">
        <v>61</v>
      </c>
      <c r="E28" s="59" t="s">
        <v>57</v>
      </c>
      <c r="F28" s="61" t="s">
        <v>38</v>
      </c>
      <c r="G28" s="62" t="s">
        <v>39</v>
      </c>
      <c r="H28" s="60"/>
    </row>
    <row r="29" spans="1:8" x14ac:dyDescent="0.25">
      <c r="A29" s="59">
        <v>18</v>
      </c>
      <c r="B29" s="60" t="s">
        <v>59</v>
      </c>
      <c r="C29" s="63" t="s">
        <v>60</v>
      </c>
      <c r="D29" s="63" t="s">
        <v>61</v>
      </c>
      <c r="E29" s="59" t="s">
        <v>57</v>
      </c>
      <c r="F29" s="61" t="s">
        <v>38</v>
      </c>
      <c r="G29" s="62" t="s">
        <v>39</v>
      </c>
      <c r="H29" s="60"/>
    </row>
    <row r="30" spans="1:8" x14ac:dyDescent="0.25">
      <c r="A30" s="59">
        <v>19</v>
      </c>
      <c r="B30" s="60" t="s">
        <v>216</v>
      </c>
      <c r="C30" s="63" t="s">
        <v>60</v>
      </c>
      <c r="D30" s="63">
        <v>1999</v>
      </c>
      <c r="E30" s="63" t="s">
        <v>57</v>
      </c>
      <c r="F30" s="61" t="s">
        <v>38</v>
      </c>
      <c r="G30" s="62" t="s">
        <v>39</v>
      </c>
      <c r="H30" s="60"/>
    </row>
    <row r="31" spans="1:8" x14ac:dyDescent="0.25">
      <c r="A31" s="85" t="s">
        <v>55</v>
      </c>
      <c r="B31" s="85"/>
      <c r="C31" s="85"/>
      <c r="D31" s="85"/>
      <c r="E31" s="85"/>
      <c r="F31" s="85"/>
      <c r="G31" s="85"/>
      <c r="H31" s="85"/>
    </row>
    <row r="32" spans="1:8" x14ac:dyDescent="0.25">
      <c r="A32" s="59">
        <v>20</v>
      </c>
      <c r="B32" s="60" t="s">
        <v>54</v>
      </c>
      <c r="C32" s="83" t="s">
        <v>338</v>
      </c>
      <c r="D32" s="83" t="s">
        <v>244</v>
      </c>
      <c r="E32" s="83" t="s">
        <v>244</v>
      </c>
      <c r="F32" s="61" t="s">
        <v>38</v>
      </c>
      <c r="G32" s="61" t="s">
        <v>38</v>
      </c>
      <c r="H32" s="60"/>
    </row>
    <row r="33" spans="1:8" x14ac:dyDescent="0.25">
      <c r="A33" s="84"/>
      <c r="B33" s="84"/>
      <c r="C33" s="84"/>
      <c r="D33" s="84"/>
      <c r="E33" s="84"/>
      <c r="F33" s="84"/>
      <c r="G33" s="84"/>
      <c r="H33" s="84"/>
    </row>
  </sheetData>
  <mergeCells count="19">
    <mergeCell ref="E1:E2"/>
    <mergeCell ref="A24:H24"/>
    <mergeCell ref="H8:H9"/>
    <mergeCell ref="A33:H33"/>
    <mergeCell ref="A31:H31"/>
    <mergeCell ref="A27:H27"/>
    <mergeCell ref="H1:H2"/>
    <mergeCell ref="A3:H3"/>
    <mergeCell ref="A5:H5"/>
    <mergeCell ref="A7:H7"/>
    <mergeCell ref="A10:H10"/>
    <mergeCell ref="A17:H17"/>
    <mergeCell ref="A21:H21"/>
    <mergeCell ref="F1:F2"/>
    <mergeCell ref="G1:G2"/>
    <mergeCell ref="A8:A9"/>
    <mergeCell ref="A1:A2"/>
    <mergeCell ref="B1:B2"/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6"/>
  <sheetViews>
    <sheetView workbookViewId="0">
      <selection activeCell="M40" sqref="M40"/>
    </sheetView>
  </sheetViews>
  <sheetFormatPr defaultRowHeight="15" x14ac:dyDescent="0.25"/>
  <cols>
    <col min="2" max="2" width="8.42578125" style="1" bestFit="1" customWidth="1"/>
    <col min="3" max="3" width="26.140625" style="1" bestFit="1" customWidth="1"/>
    <col min="4" max="4" width="11.28515625" style="1" bestFit="1" customWidth="1"/>
    <col min="5" max="5" width="11.28515625" style="1" customWidth="1"/>
    <col min="6" max="6" width="9.28515625" style="1" bestFit="1" customWidth="1"/>
    <col min="8" max="8" width="8.42578125" bestFit="1" customWidth="1"/>
    <col min="9" max="9" width="26.140625" bestFit="1" customWidth="1"/>
    <col min="10" max="10" width="11.28515625" bestFit="1" customWidth="1"/>
    <col min="12" max="12" width="9.28515625" bestFit="1" customWidth="1"/>
    <col min="14" max="14" width="8.42578125" bestFit="1" customWidth="1"/>
    <col min="15" max="15" width="26.140625" bestFit="1" customWidth="1"/>
    <col min="16" max="16" width="11.28515625" bestFit="1" customWidth="1"/>
    <col min="17" max="17" width="10.140625" bestFit="1" customWidth="1"/>
    <col min="18" max="18" width="9.28515625" bestFit="1" customWidth="1"/>
  </cols>
  <sheetData>
    <row r="1" spans="1:18" x14ac:dyDescent="0.25">
      <c r="A1" s="4" t="s">
        <v>4</v>
      </c>
      <c r="B1" s="74" t="s">
        <v>332</v>
      </c>
      <c r="C1" s="74" t="s">
        <v>277</v>
      </c>
      <c r="D1" s="75" t="s">
        <v>331</v>
      </c>
      <c r="E1" s="75" t="s">
        <v>333</v>
      </c>
      <c r="F1" s="4" t="s">
        <v>330</v>
      </c>
      <c r="H1" s="74" t="s">
        <v>332</v>
      </c>
      <c r="I1" s="74" t="s">
        <v>277</v>
      </c>
      <c r="J1" s="75" t="s">
        <v>331</v>
      </c>
      <c r="K1" s="75" t="s">
        <v>333</v>
      </c>
      <c r="L1" s="4" t="s">
        <v>330</v>
      </c>
      <c r="N1" s="74" t="s">
        <v>332</v>
      </c>
      <c r="O1" s="74" t="s">
        <v>334</v>
      </c>
      <c r="P1" s="75" t="s">
        <v>331</v>
      </c>
      <c r="Q1" s="75" t="s">
        <v>333</v>
      </c>
      <c r="R1" s="4" t="s">
        <v>330</v>
      </c>
    </row>
    <row r="2" spans="1:18" x14ac:dyDescent="0.25">
      <c r="A2" s="3">
        <v>1</v>
      </c>
      <c r="B2" s="9">
        <v>1</v>
      </c>
      <c r="C2" s="72" t="s">
        <v>278</v>
      </c>
      <c r="D2" s="9">
        <v>4959934</v>
      </c>
      <c r="E2" s="73">
        <f>D2/$D$48</f>
        <v>0.29765021829273364</v>
      </c>
      <c r="F2" s="3" t="s">
        <v>279</v>
      </c>
      <c r="H2" s="9">
        <v>1</v>
      </c>
      <c r="I2" s="72" t="s">
        <v>278</v>
      </c>
      <c r="J2" s="9">
        <v>4959934</v>
      </c>
      <c r="K2" s="73">
        <f t="shared" ref="K2:K46" si="0">J2/$D$48</f>
        <v>0.29765021829273364</v>
      </c>
      <c r="L2" s="3" t="s">
        <v>279</v>
      </c>
      <c r="N2" s="9">
        <v>1</v>
      </c>
      <c r="O2" s="72" t="s">
        <v>278</v>
      </c>
      <c r="P2" s="9">
        <v>4959934</v>
      </c>
      <c r="Q2" s="73">
        <f t="shared" ref="Q2:Q10" si="1">P2/$D$48</f>
        <v>0.29765021829273364</v>
      </c>
      <c r="R2" s="3" t="s">
        <v>279</v>
      </c>
    </row>
    <row r="3" spans="1:18" x14ac:dyDescent="0.25">
      <c r="A3" s="3">
        <v>2</v>
      </c>
      <c r="B3" s="9">
        <v>4</v>
      </c>
      <c r="C3" s="72" t="s">
        <v>280</v>
      </c>
      <c r="D3" s="9">
        <v>494</v>
      </c>
      <c r="E3" s="73">
        <f t="shared" ref="E3:E46" si="2">D3/$D$48</f>
        <v>2.9645396054989929E-5</v>
      </c>
      <c r="F3" s="3" t="s">
        <v>279</v>
      </c>
      <c r="H3" s="9">
        <v>5</v>
      </c>
      <c r="I3" s="72" t="s">
        <v>281</v>
      </c>
      <c r="J3" s="9">
        <v>4854222</v>
      </c>
      <c r="K3" s="73">
        <f t="shared" si="0"/>
        <v>0.29130634358065854</v>
      </c>
      <c r="L3" s="3" t="s">
        <v>279</v>
      </c>
      <c r="N3" s="9">
        <v>5</v>
      </c>
      <c r="O3" s="72" t="s">
        <v>281</v>
      </c>
      <c r="P3" s="9">
        <v>4854222</v>
      </c>
      <c r="Q3" s="73">
        <f t="shared" si="1"/>
        <v>0.29130634358065854</v>
      </c>
      <c r="R3" s="3" t="s">
        <v>279</v>
      </c>
    </row>
    <row r="4" spans="1:18" x14ac:dyDescent="0.25">
      <c r="A4" s="3">
        <v>3</v>
      </c>
      <c r="B4" s="9">
        <v>5</v>
      </c>
      <c r="C4" s="72" t="s">
        <v>281</v>
      </c>
      <c r="D4" s="9">
        <v>4854222</v>
      </c>
      <c r="E4" s="73">
        <f t="shared" si="2"/>
        <v>0.29130634358065854</v>
      </c>
      <c r="F4" s="3" t="s">
        <v>279</v>
      </c>
      <c r="H4" s="9">
        <v>141</v>
      </c>
      <c r="I4" s="72" t="s">
        <v>312</v>
      </c>
      <c r="J4" s="9">
        <v>2673685</v>
      </c>
      <c r="K4" s="73">
        <f t="shared" si="0"/>
        <v>0.16045030516454606</v>
      </c>
      <c r="L4" s="3" t="s">
        <v>313</v>
      </c>
      <c r="N4" s="9">
        <v>141</v>
      </c>
      <c r="O4" s="72" t="s">
        <v>312</v>
      </c>
      <c r="P4" s="9">
        <v>2673685</v>
      </c>
      <c r="Q4" s="73">
        <f t="shared" si="1"/>
        <v>0.16045030516454606</v>
      </c>
      <c r="R4" s="3" t="s">
        <v>313</v>
      </c>
    </row>
    <row r="5" spans="1:18" x14ac:dyDescent="0.25">
      <c r="A5" s="3">
        <v>4</v>
      </c>
      <c r="B5" s="9">
        <v>12</v>
      </c>
      <c r="C5" s="72" t="s">
        <v>282</v>
      </c>
      <c r="D5" s="9">
        <v>2</v>
      </c>
      <c r="E5" s="73">
        <f t="shared" si="2"/>
        <v>1.2002184637647744E-7</v>
      </c>
      <c r="F5" s="3" t="s">
        <v>279</v>
      </c>
      <c r="H5" s="9">
        <v>176</v>
      </c>
      <c r="I5" s="72" t="s">
        <v>318</v>
      </c>
      <c r="J5" s="9">
        <v>1461630</v>
      </c>
      <c r="K5" s="73">
        <f t="shared" si="0"/>
        <v>8.7713765659625367E-2</v>
      </c>
      <c r="L5" s="3" t="s">
        <v>317</v>
      </c>
      <c r="N5" s="9">
        <v>176</v>
      </c>
      <c r="O5" s="72" t="s">
        <v>318</v>
      </c>
      <c r="P5" s="9">
        <v>1461630</v>
      </c>
      <c r="Q5" s="73">
        <f t="shared" si="1"/>
        <v>8.7713765659625367E-2</v>
      </c>
      <c r="R5" s="3" t="s">
        <v>317</v>
      </c>
    </row>
    <row r="6" spans="1:18" x14ac:dyDescent="0.25">
      <c r="A6" s="3">
        <v>5</v>
      </c>
      <c r="B6" s="9">
        <v>13</v>
      </c>
      <c r="C6" s="72" t="s">
        <v>283</v>
      </c>
      <c r="D6" s="9">
        <v>1179</v>
      </c>
      <c r="E6" s="73">
        <f t="shared" si="2"/>
        <v>7.0752878438933454E-5</v>
      </c>
      <c r="F6" s="3" t="s">
        <v>279</v>
      </c>
      <c r="H6" s="9">
        <v>121</v>
      </c>
      <c r="I6" s="72" t="s">
        <v>306</v>
      </c>
      <c r="J6" s="9">
        <v>800120</v>
      </c>
      <c r="K6" s="73">
        <f t="shared" si="0"/>
        <v>4.801593986137357E-2</v>
      </c>
      <c r="L6" s="3" t="s">
        <v>307</v>
      </c>
      <c r="N6" s="9">
        <v>121</v>
      </c>
      <c r="O6" s="72" t="s">
        <v>306</v>
      </c>
      <c r="P6" s="9">
        <v>800120</v>
      </c>
      <c r="Q6" s="73">
        <f t="shared" si="1"/>
        <v>4.801593986137357E-2</v>
      </c>
      <c r="R6" s="3" t="s">
        <v>307</v>
      </c>
    </row>
    <row r="7" spans="1:18" x14ac:dyDescent="0.25">
      <c r="A7" s="3">
        <v>6</v>
      </c>
      <c r="B7" s="9">
        <v>21</v>
      </c>
      <c r="C7" s="72" t="s">
        <v>284</v>
      </c>
      <c r="D7" s="9">
        <v>36</v>
      </c>
      <c r="E7" s="73">
        <f t="shared" si="2"/>
        <v>2.160393234776594E-6</v>
      </c>
      <c r="F7" s="3" t="s">
        <v>279</v>
      </c>
      <c r="H7" s="9">
        <v>26</v>
      </c>
      <c r="I7" s="72" t="s">
        <v>286</v>
      </c>
      <c r="J7" s="9">
        <v>538424</v>
      </c>
      <c r="K7" s="73">
        <f t="shared" si="0"/>
        <v>3.2311321306704249E-2</v>
      </c>
      <c r="L7" s="3" t="s">
        <v>279</v>
      </c>
      <c r="N7" s="9">
        <v>26</v>
      </c>
      <c r="O7" s="72" t="s">
        <v>286</v>
      </c>
      <c r="P7" s="9">
        <v>538424</v>
      </c>
      <c r="Q7" s="73">
        <f t="shared" si="1"/>
        <v>3.2311321306704249E-2</v>
      </c>
      <c r="R7" s="3" t="s">
        <v>279</v>
      </c>
    </row>
    <row r="8" spans="1:18" x14ac:dyDescent="0.25">
      <c r="A8" s="3">
        <v>7</v>
      </c>
      <c r="B8" s="9">
        <v>24</v>
      </c>
      <c r="C8" s="72" t="s">
        <v>285</v>
      </c>
      <c r="D8" s="9">
        <v>43795</v>
      </c>
      <c r="E8" s="73">
        <f t="shared" si="2"/>
        <v>2.6281783810289147E-3</v>
      </c>
      <c r="F8" s="3" t="s">
        <v>279</v>
      </c>
      <c r="H8" s="9">
        <v>122</v>
      </c>
      <c r="I8" s="72" t="s">
        <v>308</v>
      </c>
      <c r="J8" s="9">
        <v>535704</v>
      </c>
      <c r="K8" s="73">
        <f t="shared" si="0"/>
        <v>3.2148091595632235E-2</v>
      </c>
      <c r="L8" s="3" t="s">
        <v>307</v>
      </c>
      <c r="N8" s="9">
        <v>122</v>
      </c>
      <c r="O8" s="72" t="s">
        <v>308</v>
      </c>
      <c r="P8" s="9">
        <v>535704</v>
      </c>
      <c r="Q8" s="73">
        <f t="shared" si="1"/>
        <v>3.2148091595632235E-2</v>
      </c>
      <c r="R8" s="3" t="s">
        <v>307</v>
      </c>
    </row>
    <row r="9" spans="1:18" x14ac:dyDescent="0.25">
      <c r="A9" s="3">
        <v>8</v>
      </c>
      <c r="B9" s="9">
        <v>26</v>
      </c>
      <c r="C9" s="72" t="s">
        <v>286</v>
      </c>
      <c r="D9" s="9">
        <v>538424</v>
      </c>
      <c r="E9" s="73">
        <f t="shared" si="2"/>
        <v>3.2311321306704249E-2</v>
      </c>
      <c r="F9" s="3" t="s">
        <v>279</v>
      </c>
      <c r="H9" s="9">
        <v>111</v>
      </c>
      <c r="I9" s="72" t="s">
        <v>304</v>
      </c>
      <c r="J9" s="9">
        <v>313873</v>
      </c>
      <c r="K9" s="73">
        <f t="shared" si="0"/>
        <v>1.8835808493862054E-2</v>
      </c>
      <c r="L9" s="3" t="s">
        <v>305</v>
      </c>
      <c r="N9" s="9">
        <v>111</v>
      </c>
      <c r="O9" s="72" t="s">
        <v>304</v>
      </c>
      <c r="P9" s="9">
        <v>313873</v>
      </c>
      <c r="Q9" s="73">
        <f t="shared" si="1"/>
        <v>1.8835808493862054E-2</v>
      </c>
      <c r="R9" s="3" t="s">
        <v>305</v>
      </c>
    </row>
    <row r="10" spans="1:18" x14ac:dyDescent="0.25">
      <c r="A10" s="3">
        <v>9</v>
      </c>
      <c r="B10" s="9">
        <v>27</v>
      </c>
      <c r="C10" s="72" t="s">
        <v>287</v>
      </c>
      <c r="D10" s="9">
        <v>28</v>
      </c>
      <c r="E10" s="73">
        <f t="shared" si="2"/>
        <v>1.6803058492706842E-6</v>
      </c>
      <c r="F10" s="3" t="s">
        <v>279</v>
      </c>
      <c r="H10" s="9">
        <v>190</v>
      </c>
      <c r="I10" s="72" t="s">
        <v>319</v>
      </c>
      <c r="J10" s="9">
        <v>226485</v>
      </c>
      <c r="K10" s="73">
        <f t="shared" si="0"/>
        <v>1.3591573938288247E-2</v>
      </c>
      <c r="L10" s="3" t="s">
        <v>320</v>
      </c>
      <c r="N10" s="9">
        <v>190</v>
      </c>
      <c r="O10" s="72" t="s">
        <v>319</v>
      </c>
      <c r="P10" s="9">
        <v>226485</v>
      </c>
      <c r="Q10" s="73">
        <f t="shared" si="1"/>
        <v>1.3591573938288247E-2</v>
      </c>
      <c r="R10" s="3" t="s">
        <v>320</v>
      </c>
    </row>
    <row r="11" spans="1:18" x14ac:dyDescent="0.25">
      <c r="A11" s="3">
        <v>10</v>
      </c>
      <c r="B11" s="9">
        <v>28</v>
      </c>
      <c r="C11" s="72" t="s">
        <v>288</v>
      </c>
      <c r="D11" s="9">
        <v>3</v>
      </c>
      <c r="E11" s="73">
        <f t="shared" si="2"/>
        <v>1.8003276956471617E-7</v>
      </c>
      <c r="F11" s="3" t="s">
        <v>279</v>
      </c>
      <c r="H11" s="9">
        <v>123</v>
      </c>
      <c r="I11" s="72" t="s">
        <v>309</v>
      </c>
      <c r="J11" s="9">
        <v>123785</v>
      </c>
      <c r="K11" s="73">
        <f t="shared" si="0"/>
        <v>7.4284521268561301E-3</v>
      </c>
      <c r="L11" s="3" t="s">
        <v>307</v>
      </c>
      <c r="N11" s="3" t="s">
        <v>244</v>
      </c>
      <c r="O11" s="72" t="s">
        <v>55</v>
      </c>
      <c r="P11" s="9">
        <f>SUMIF($K$2:$K$46,"&lt;1%",$J$2:$J$46)</f>
        <v>299556</v>
      </c>
      <c r="Q11" s="73">
        <f>SUMIF($K$2:$K$46,"&lt;1%")</f>
        <v>1.7976632106576046E-2</v>
      </c>
      <c r="R11" s="3" t="s">
        <v>244</v>
      </c>
    </row>
    <row r="12" spans="1:18" x14ac:dyDescent="0.25">
      <c r="A12" s="3">
        <v>11</v>
      </c>
      <c r="B12" s="9">
        <v>29</v>
      </c>
      <c r="C12" s="72" t="s">
        <v>289</v>
      </c>
      <c r="D12" s="9">
        <v>4</v>
      </c>
      <c r="E12" s="73">
        <f t="shared" si="2"/>
        <v>2.4004369275295487E-7</v>
      </c>
      <c r="F12" s="3" t="s">
        <v>279</v>
      </c>
      <c r="H12" s="9">
        <v>36</v>
      </c>
      <c r="I12" s="72" t="s">
        <v>290</v>
      </c>
      <c r="J12" s="9">
        <v>59884</v>
      </c>
      <c r="K12" s="73">
        <f t="shared" si="0"/>
        <v>3.5936941242044875E-3</v>
      </c>
      <c r="L12" s="3" t="s">
        <v>279</v>
      </c>
    </row>
    <row r="13" spans="1:18" x14ac:dyDescent="0.25">
      <c r="A13" s="3">
        <v>12</v>
      </c>
      <c r="B13" s="9">
        <v>36</v>
      </c>
      <c r="C13" s="72" t="s">
        <v>290</v>
      </c>
      <c r="D13" s="9">
        <v>59884</v>
      </c>
      <c r="E13" s="73">
        <f t="shared" si="2"/>
        <v>3.5936941242044875E-3</v>
      </c>
      <c r="F13" s="3" t="s">
        <v>279</v>
      </c>
      <c r="H13" s="9">
        <v>24</v>
      </c>
      <c r="I13" s="72" t="s">
        <v>285</v>
      </c>
      <c r="J13" s="9">
        <v>43795</v>
      </c>
      <c r="K13" s="73">
        <f t="shared" si="0"/>
        <v>2.6281783810289147E-3</v>
      </c>
      <c r="L13" s="3" t="s">
        <v>279</v>
      </c>
    </row>
    <row r="14" spans="1:18" x14ac:dyDescent="0.25">
      <c r="A14" s="3">
        <v>13</v>
      </c>
      <c r="B14" s="9">
        <v>37</v>
      </c>
      <c r="C14" s="72" t="s">
        <v>291</v>
      </c>
      <c r="D14" s="9">
        <v>7482</v>
      </c>
      <c r="E14" s="73">
        <f t="shared" si="2"/>
        <v>4.4900172729440215E-4</v>
      </c>
      <c r="F14" s="3" t="s">
        <v>279</v>
      </c>
      <c r="H14" s="9">
        <v>124</v>
      </c>
      <c r="I14" s="72" t="s">
        <v>310</v>
      </c>
      <c r="J14" s="9">
        <v>30507</v>
      </c>
      <c r="K14" s="73">
        <f t="shared" si="0"/>
        <v>1.8307532337035986E-3</v>
      </c>
      <c r="L14" s="3" t="s">
        <v>307</v>
      </c>
    </row>
    <row r="15" spans="1:18" x14ac:dyDescent="0.25">
      <c r="A15" s="3">
        <v>14</v>
      </c>
      <c r="B15" s="9">
        <v>42</v>
      </c>
      <c r="C15" s="72" t="s">
        <v>292</v>
      </c>
      <c r="D15" s="9">
        <v>2</v>
      </c>
      <c r="E15" s="73">
        <f t="shared" si="2"/>
        <v>1.2002184637647744E-7</v>
      </c>
      <c r="F15" s="3" t="s">
        <v>279</v>
      </c>
      <c r="H15" s="9">
        <v>131</v>
      </c>
      <c r="I15" s="72" t="s">
        <v>311</v>
      </c>
      <c r="J15" s="9">
        <v>8370</v>
      </c>
      <c r="K15" s="73">
        <f t="shared" si="0"/>
        <v>5.0229142708555809E-4</v>
      </c>
      <c r="L15" s="3" t="s">
        <v>279</v>
      </c>
    </row>
    <row r="16" spans="1:18" x14ac:dyDescent="0.25">
      <c r="A16" s="3">
        <v>15</v>
      </c>
      <c r="B16" s="9">
        <v>44</v>
      </c>
      <c r="C16" s="72" t="s">
        <v>293</v>
      </c>
      <c r="D16" s="9">
        <v>2</v>
      </c>
      <c r="E16" s="73">
        <f t="shared" si="2"/>
        <v>1.2002184637647744E-7</v>
      </c>
      <c r="F16" s="3" t="s">
        <v>279</v>
      </c>
      <c r="H16" s="9">
        <v>195</v>
      </c>
      <c r="I16" s="72" t="s">
        <v>321</v>
      </c>
      <c r="J16" s="9">
        <v>7494</v>
      </c>
      <c r="K16" s="73">
        <f t="shared" si="0"/>
        <v>4.4972185837266097E-4</v>
      </c>
      <c r="L16" s="3" t="s">
        <v>320</v>
      </c>
    </row>
    <row r="17" spans="1:12" x14ac:dyDescent="0.25">
      <c r="A17" s="3">
        <v>16</v>
      </c>
      <c r="B17" s="9">
        <v>47</v>
      </c>
      <c r="C17" s="72" t="s">
        <v>294</v>
      </c>
      <c r="D17" s="9">
        <v>1</v>
      </c>
      <c r="E17" s="73">
        <f t="shared" si="2"/>
        <v>6.0010923188238718E-8</v>
      </c>
      <c r="F17" s="3" t="s">
        <v>279</v>
      </c>
      <c r="H17" s="9">
        <v>37</v>
      </c>
      <c r="I17" s="72" t="s">
        <v>291</v>
      </c>
      <c r="J17" s="9">
        <v>7482</v>
      </c>
      <c r="K17" s="73">
        <f t="shared" si="0"/>
        <v>4.4900172729440215E-4</v>
      </c>
      <c r="L17" s="3" t="s">
        <v>279</v>
      </c>
    </row>
    <row r="18" spans="1:12" x14ac:dyDescent="0.25">
      <c r="A18" s="3">
        <v>17</v>
      </c>
      <c r="B18" s="9">
        <v>57</v>
      </c>
      <c r="C18" s="72" t="s">
        <v>295</v>
      </c>
      <c r="D18" s="9">
        <v>34</v>
      </c>
      <c r="E18" s="73">
        <f t="shared" si="2"/>
        <v>2.0403713884001167E-6</v>
      </c>
      <c r="F18" s="3" t="s">
        <v>279</v>
      </c>
      <c r="H18" s="9">
        <v>61</v>
      </c>
      <c r="I18" s="72" t="s">
        <v>299</v>
      </c>
      <c r="J18" s="9">
        <v>6794</v>
      </c>
      <c r="K18" s="73">
        <f t="shared" si="0"/>
        <v>4.0771421214089387E-4</v>
      </c>
      <c r="L18" s="3" t="s">
        <v>279</v>
      </c>
    </row>
    <row r="19" spans="1:12" x14ac:dyDescent="0.25">
      <c r="A19" s="3">
        <v>18</v>
      </c>
      <c r="B19" s="9">
        <v>58</v>
      </c>
      <c r="C19" s="72" t="s">
        <v>296</v>
      </c>
      <c r="D19" s="9">
        <v>2342</v>
      </c>
      <c r="E19" s="73">
        <f t="shared" si="2"/>
        <v>1.405455821068551E-4</v>
      </c>
      <c r="F19" s="3" t="s">
        <v>279</v>
      </c>
      <c r="H19" s="9">
        <v>236</v>
      </c>
      <c r="I19" s="72" t="s">
        <v>325</v>
      </c>
      <c r="J19" s="9">
        <v>3178</v>
      </c>
      <c r="K19" s="73">
        <f t="shared" si="0"/>
        <v>1.9071471389222266E-4</v>
      </c>
      <c r="L19" s="3" t="s">
        <v>279</v>
      </c>
    </row>
    <row r="20" spans="1:12" x14ac:dyDescent="0.25">
      <c r="A20" s="3">
        <v>19</v>
      </c>
      <c r="B20" s="9">
        <v>59</v>
      </c>
      <c r="C20" s="72" t="s">
        <v>297</v>
      </c>
      <c r="D20" s="9">
        <v>273</v>
      </c>
      <c r="E20" s="73">
        <f t="shared" si="2"/>
        <v>1.638298203038917E-5</v>
      </c>
      <c r="F20" s="3" t="s">
        <v>279</v>
      </c>
      <c r="H20" s="9">
        <v>58</v>
      </c>
      <c r="I20" s="72" t="s">
        <v>296</v>
      </c>
      <c r="J20" s="9">
        <v>2342</v>
      </c>
      <c r="K20" s="73">
        <f t="shared" si="0"/>
        <v>1.405455821068551E-4</v>
      </c>
      <c r="L20" s="3" t="s">
        <v>279</v>
      </c>
    </row>
    <row r="21" spans="1:12" x14ac:dyDescent="0.25">
      <c r="A21" s="3">
        <v>20</v>
      </c>
      <c r="B21" s="9">
        <v>60</v>
      </c>
      <c r="C21" s="72" t="s">
        <v>298</v>
      </c>
      <c r="D21" s="9">
        <v>1</v>
      </c>
      <c r="E21" s="73">
        <f t="shared" si="2"/>
        <v>6.0010923188238718E-8</v>
      </c>
      <c r="F21" s="3" t="s">
        <v>279</v>
      </c>
      <c r="H21" s="9">
        <v>225</v>
      </c>
      <c r="I21" s="72" t="s">
        <v>322</v>
      </c>
      <c r="J21" s="9">
        <v>1954</v>
      </c>
      <c r="K21" s="73">
        <f t="shared" si="0"/>
        <v>1.1726134390981847E-4</v>
      </c>
      <c r="L21" s="3" t="s">
        <v>279</v>
      </c>
    </row>
    <row r="22" spans="1:12" x14ac:dyDescent="0.25">
      <c r="A22" s="3">
        <v>21</v>
      </c>
      <c r="B22" s="9">
        <v>61</v>
      </c>
      <c r="C22" s="72" t="s">
        <v>299</v>
      </c>
      <c r="D22" s="9">
        <v>6794</v>
      </c>
      <c r="E22" s="73">
        <f t="shared" si="2"/>
        <v>4.0771421214089387E-4</v>
      </c>
      <c r="F22" s="3" t="s">
        <v>279</v>
      </c>
      <c r="H22" s="9">
        <v>229</v>
      </c>
      <c r="I22" s="72" t="s">
        <v>324</v>
      </c>
      <c r="J22" s="9">
        <v>1198</v>
      </c>
      <c r="K22" s="73">
        <f t="shared" si="0"/>
        <v>7.1893085979509995E-5</v>
      </c>
      <c r="L22" s="3" t="s">
        <v>279</v>
      </c>
    </row>
    <row r="23" spans="1:12" x14ac:dyDescent="0.25">
      <c r="A23" s="3">
        <v>22</v>
      </c>
      <c r="B23" s="9">
        <v>67</v>
      </c>
      <c r="C23" s="72" t="s">
        <v>300</v>
      </c>
      <c r="D23" s="9">
        <v>10</v>
      </c>
      <c r="E23" s="73">
        <f t="shared" si="2"/>
        <v>6.0010923188238726E-7</v>
      </c>
      <c r="F23" s="3" t="s">
        <v>279</v>
      </c>
      <c r="H23" s="9">
        <v>13</v>
      </c>
      <c r="I23" s="72" t="s">
        <v>283</v>
      </c>
      <c r="J23" s="9">
        <v>1179</v>
      </c>
      <c r="K23" s="73">
        <f t="shared" si="0"/>
        <v>7.0752878438933454E-5</v>
      </c>
      <c r="L23" s="3" t="s">
        <v>279</v>
      </c>
    </row>
    <row r="24" spans="1:12" x14ac:dyDescent="0.25">
      <c r="A24" s="3">
        <v>23</v>
      </c>
      <c r="B24" s="9">
        <v>68</v>
      </c>
      <c r="C24" s="72" t="s">
        <v>301</v>
      </c>
      <c r="D24" s="9">
        <v>11</v>
      </c>
      <c r="E24" s="73">
        <f t="shared" si="2"/>
        <v>6.6012015507062592E-7</v>
      </c>
      <c r="F24" s="3" t="s">
        <v>279</v>
      </c>
      <c r="H24" s="9">
        <v>4</v>
      </c>
      <c r="I24" s="72" t="s">
        <v>280</v>
      </c>
      <c r="J24" s="9">
        <v>494</v>
      </c>
      <c r="K24" s="73">
        <f t="shared" si="0"/>
        <v>2.9645396054989929E-5</v>
      </c>
      <c r="L24" s="3" t="s">
        <v>279</v>
      </c>
    </row>
    <row r="25" spans="1:12" x14ac:dyDescent="0.25">
      <c r="A25" s="3">
        <v>24</v>
      </c>
      <c r="B25" s="9">
        <v>70</v>
      </c>
      <c r="C25" s="72" t="s">
        <v>302</v>
      </c>
      <c r="D25" s="9">
        <v>1</v>
      </c>
      <c r="E25" s="73">
        <f t="shared" si="2"/>
        <v>6.0010923188238718E-8</v>
      </c>
      <c r="F25" s="3" t="s">
        <v>279</v>
      </c>
      <c r="H25" s="9">
        <v>59</v>
      </c>
      <c r="I25" s="72" t="s">
        <v>297</v>
      </c>
      <c r="J25" s="9">
        <v>273</v>
      </c>
      <c r="K25" s="73">
        <f t="shared" si="0"/>
        <v>1.638298203038917E-5</v>
      </c>
      <c r="L25" s="3" t="s">
        <v>279</v>
      </c>
    </row>
    <row r="26" spans="1:12" x14ac:dyDescent="0.25">
      <c r="A26" s="3">
        <v>25</v>
      </c>
      <c r="B26" s="9">
        <v>74</v>
      </c>
      <c r="C26" s="72" t="s">
        <v>303</v>
      </c>
      <c r="D26" s="9">
        <v>148</v>
      </c>
      <c r="E26" s="73">
        <f t="shared" si="2"/>
        <v>8.8816166318593315E-6</v>
      </c>
      <c r="F26" s="3" t="s">
        <v>279</v>
      </c>
      <c r="H26" s="9">
        <v>226</v>
      </c>
      <c r="I26" s="72" t="s">
        <v>323</v>
      </c>
      <c r="J26" s="9">
        <v>272</v>
      </c>
      <c r="K26" s="73">
        <f t="shared" si="0"/>
        <v>1.6322971107200934E-5</v>
      </c>
      <c r="L26" s="3" t="s">
        <v>279</v>
      </c>
    </row>
    <row r="27" spans="1:12" x14ac:dyDescent="0.25">
      <c r="A27" s="3">
        <v>26</v>
      </c>
      <c r="B27" s="9">
        <v>111</v>
      </c>
      <c r="C27" s="72" t="s">
        <v>304</v>
      </c>
      <c r="D27" s="9">
        <v>313873</v>
      </c>
      <c r="E27" s="73">
        <f t="shared" si="2"/>
        <v>1.8835808493862054E-2</v>
      </c>
      <c r="F27" s="3" t="s">
        <v>305</v>
      </c>
      <c r="H27" s="9">
        <v>74</v>
      </c>
      <c r="I27" s="72" t="s">
        <v>303</v>
      </c>
      <c r="J27" s="9">
        <v>148</v>
      </c>
      <c r="K27" s="73">
        <f t="shared" si="0"/>
        <v>8.8816166318593315E-6</v>
      </c>
      <c r="L27" s="3" t="s">
        <v>279</v>
      </c>
    </row>
    <row r="28" spans="1:12" x14ac:dyDescent="0.25">
      <c r="A28" s="3">
        <v>27</v>
      </c>
      <c r="B28" s="9">
        <v>121</v>
      </c>
      <c r="C28" s="72" t="s">
        <v>306</v>
      </c>
      <c r="D28" s="9">
        <v>800120</v>
      </c>
      <c r="E28" s="73">
        <f t="shared" si="2"/>
        <v>4.801593986137357E-2</v>
      </c>
      <c r="F28" s="3" t="s">
        <v>307</v>
      </c>
      <c r="H28" s="9">
        <v>237</v>
      </c>
      <c r="I28" s="72" t="s">
        <v>326</v>
      </c>
      <c r="J28" s="9">
        <v>115</v>
      </c>
      <c r="K28" s="73">
        <f t="shared" si="0"/>
        <v>6.9012561666474533E-6</v>
      </c>
      <c r="L28" s="3" t="s">
        <v>279</v>
      </c>
    </row>
    <row r="29" spans="1:12" x14ac:dyDescent="0.25">
      <c r="A29" s="3">
        <v>28</v>
      </c>
      <c r="B29" s="9">
        <v>122</v>
      </c>
      <c r="C29" s="72" t="s">
        <v>308</v>
      </c>
      <c r="D29" s="9">
        <v>535704</v>
      </c>
      <c r="E29" s="73">
        <f t="shared" si="2"/>
        <v>3.2148091595632235E-2</v>
      </c>
      <c r="F29" s="3" t="s">
        <v>307</v>
      </c>
      <c r="H29" s="9">
        <v>254</v>
      </c>
      <c r="I29" s="72" t="s">
        <v>328</v>
      </c>
      <c r="J29" s="9">
        <v>51</v>
      </c>
      <c r="K29" s="73">
        <f t="shared" si="0"/>
        <v>3.0605570826001749E-6</v>
      </c>
      <c r="L29" s="3" t="s">
        <v>279</v>
      </c>
    </row>
    <row r="30" spans="1:12" x14ac:dyDescent="0.25">
      <c r="A30" s="3">
        <v>29</v>
      </c>
      <c r="B30" s="9">
        <v>123</v>
      </c>
      <c r="C30" s="72" t="s">
        <v>309</v>
      </c>
      <c r="D30" s="9">
        <v>123785</v>
      </c>
      <c r="E30" s="73">
        <f t="shared" si="2"/>
        <v>7.4284521268561301E-3</v>
      </c>
      <c r="F30" s="3" t="s">
        <v>307</v>
      </c>
      <c r="H30" s="9">
        <v>152</v>
      </c>
      <c r="I30" s="72" t="s">
        <v>316</v>
      </c>
      <c r="J30" s="9">
        <v>40</v>
      </c>
      <c r="K30" s="73">
        <f t="shared" si="0"/>
        <v>2.4004369275295491E-6</v>
      </c>
      <c r="L30" s="3" t="s">
        <v>317</v>
      </c>
    </row>
    <row r="31" spans="1:12" x14ac:dyDescent="0.25">
      <c r="A31" s="3">
        <v>30</v>
      </c>
      <c r="B31" s="9">
        <v>124</v>
      </c>
      <c r="C31" s="72" t="s">
        <v>310</v>
      </c>
      <c r="D31" s="9">
        <v>30507</v>
      </c>
      <c r="E31" s="73">
        <f t="shared" si="2"/>
        <v>1.8307532337035986E-3</v>
      </c>
      <c r="F31" s="3" t="s">
        <v>307</v>
      </c>
      <c r="H31" s="9">
        <v>21</v>
      </c>
      <c r="I31" s="72" t="s">
        <v>284</v>
      </c>
      <c r="J31" s="9">
        <v>36</v>
      </c>
      <c r="K31" s="73">
        <f t="shared" si="0"/>
        <v>2.160393234776594E-6</v>
      </c>
      <c r="L31" s="3" t="s">
        <v>279</v>
      </c>
    </row>
    <row r="32" spans="1:12" x14ac:dyDescent="0.25">
      <c r="A32" s="3">
        <v>31</v>
      </c>
      <c r="B32" s="9">
        <v>131</v>
      </c>
      <c r="C32" s="72" t="s">
        <v>311</v>
      </c>
      <c r="D32" s="9">
        <v>8370</v>
      </c>
      <c r="E32" s="73">
        <f t="shared" si="2"/>
        <v>5.0229142708555809E-4</v>
      </c>
      <c r="F32" s="3" t="s">
        <v>279</v>
      </c>
      <c r="H32" s="9">
        <v>57</v>
      </c>
      <c r="I32" s="72" t="s">
        <v>295</v>
      </c>
      <c r="J32" s="9">
        <v>34</v>
      </c>
      <c r="K32" s="73">
        <f t="shared" si="0"/>
        <v>2.0403713884001167E-6</v>
      </c>
      <c r="L32" s="3" t="s">
        <v>279</v>
      </c>
    </row>
    <row r="33" spans="1:12" x14ac:dyDescent="0.25">
      <c r="A33" s="3">
        <v>32</v>
      </c>
      <c r="B33" s="9">
        <v>141</v>
      </c>
      <c r="C33" s="72" t="s">
        <v>312</v>
      </c>
      <c r="D33" s="9">
        <v>2673685</v>
      </c>
      <c r="E33" s="73">
        <f t="shared" si="2"/>
        <v>0.16045030516454606</v>
      </c>
      <c r="F33" s="3" t="s">
        <v>313</v>
      </c>
      <c r="H33" s="9">
        <v>249</v>
      </c>
      <c r="I33" s="72" t="s">
        <v>327</v>
      </c>
      <c r="J33" s="9">
        <v>29</v>
      </c>
      <c r="K33" s="73">
        <f t="shared" si="0"/>
        <v>1.740316772458923E-6</v>
      </c>
      <c r="L33" s="3" t="s">
        <v>279</v>
      </c>
    </row>
    <row r="34" spans="1:12" x14ac:dyDescent="0.25">
      <c r="A34" s="3">
        <v>33</v>
      </c>
      <c r="B34" s="9">
        <v>142</v>
      </c>
      <c r="C34" s="72" t="s">
        <v>314</v>
      </c>
      <c r="D34" s="9">
        <v>27</v>
      </c>
      <c r="E34" s="73">
        <f t="shared" si="2"/>
        <v>1.6202949260824455E-6</v>
      </c>
      <c r="F34" s="3" t="s">
        <v>313</v>
      </c>
      <c r="H34" s="9">
        <v>27</v>
      </c>
      <c r="I34" s="72" t="s">
        <v>287</v>
      </c>
      <c r="J34" s="9">
        <v>28</v>
      </c>
      <c r="K34" s="73">
        <f t="shared" si="0"/>
        <v>1.6803058492706842E-6</v>
      </c>
      <c r="L34" s="3" t="s">
        <v>279</v>
      </c>
    </row>
    <row r="35" spans="1:12" x14ac:dyDescent="0.25">
      <c r="A35" s="3">
        <v>34</v>
      </c>
      <c r="B35" s="9">
        <v>143</v>
      </c>
      <c r="C35" s="72" t="s">
        <v>315</v>
      </c>
      <c r="D35" s="9">
        <v>10</v>
      </c>
      <c r="E35" s="73">
        <f t="shared" si="2"/>
        <v>6.0010923188238726E-7</v>
      </c>
      <c r="F35" s="3" t="s">
        <v>313</v>
      </c>
      <c r="H35" s="9">
        <v>142</v>
      </c>
      <c r="I35" s="72" t="s">
        <v>314</v>
      </c>
      <c r="J35" s="9">
        <v>27</v>
      </c>
      <c r="K35" s="73">
        <f t="shared" si="0"/>
        <v>1.6202949260824455E-6</v>
      </c>
      <c r="L35" s="3" t="s">
        <v>313</v>
      </c>
    </row>
    <row r="36" spans="1:12" x14ac:dyDescent="0.25">
      <c r="A36" s="3">
        <v>35</v>
      </c>
      <c r="B36" s="9">
        <v>152</v>
      </c>
      <c r="C36" s="72" t="s">
        <v>316</v>
      </c>
      <c r="D36" s="9">
        <v>40</v>
      </c>
      <c r="E36" s="73">
        <f t="shared" si="2"/>
        <v>2.4004369275295491E-6</v>
      </c>
      <c r="F36" s="3" t="s">
        <v>317</v>
      </c>
      <c r="H36" s="9">
        <v>68</v>
      </c>
      <c r="I36" s="72" t="s">
        <v>301</v>
      </c>
      <c r="J36" s="9">
        <v>11</v>
      </c>
      <c r="K36" s="73">
        <f t="shared" si="0"/>
        <v>6.6012015507062592E-7</v>
      </c>
      <c r="L36" s="3" t="s">
        <v>279</v>
      </c>
    </row>
    <row r="37" spans="1:12" x14ac:dyDescent="0.25">
      <c r="A37" s="3">
        <v>36</v>
      </c>
      <c r="B37" s="9">
        <v>176</v>
      </c>
      <c r="C37" s="72" t="s">
        <v>318</v>
      </c>
      <c r="D37" s="9">
        <v>1461630</v>
      </c>
      <c r="E37" s="73">
        <f t="shared" si="2"/>
        <v>8.7713765659625367E-2</v>
      </c>
      <c r="F37" s="3" t="s">
        <v>317</v>
      </c>
      <c r="H37" s="9">
        <v>67</v>
      </c>
      <c r="I37" s="72" t="s">
        <v>300</v>
      </c>
      <c r="J37" s="9">
        <v>10</v>
      </c>
      <c r="K37" s="73">
        <f t="shared" si="0"/>
        <v>6.0010923188238726E-7</v>
      </c>
      <c r="L37" s="3" t="s">
        <v>279</v>
      </c>
    </row>
    <row r="38" spans="1:12" x14ac:dyDescent="0.25">
      <c r="A38" s="3">
        <v>37</v>
      </c>
      <c r="B38" s="9">
        <v>190</v>
      </c>
      <c r="C38" s="72" t="s">
        <v>319</v>
      </c>
      <c r="D38" s="9">
        <v>226485</v>
      </c>
      <c r="E38" s="73">
        <f t="shared" si="2"/>
        <v>1.3591573938288247E-2</v>
      </c>
      <c r="F38" s="3" t="s">
        <v>320</v>
      </c>
      <c r="H38" s="9">
        <v>143</v>
      </c>
      <c r="I38" s="72" t="s">
        <v>315</v>
      </c>
      <c r="J38" s="9">
        <v>10</v>
      </c>
      <c r="K38" s="73">
        <f t="shared" si="0"/>
        <v>6.0010923188238726E-7</v>
      </c>
      <c r="L38" s="3" t="s">
        <v>313</v>
      </c>
    </row>
    <row r="39" spans="1:12" x14ac:dyDescent="0.25">
      <c r="A39" s="3">
        <v>38</v>
      </c>
      <c r="B39" s="9">
        <v>195</v>
      </c>
      <c r="C39" s="72" t="s">
        <v>321</v>
      </c>
      <c r="D39" s="9">
        <v>7494</v>
      </c>
      <c r="E39" s="73">
        <f t="shared" si="2"/>
        <v>4.4972185837266097E-4</v>
      </c>
      <c r="F39" s="3" t="s">
        <v>320</v>
      </c>
      <c r="H39" s="9">
        <v>29</v>
      </c>
      <c r="I39" s="72" t="s">
        <v>289</v>
      </c>
      <c r="J39" s="9">
        <v>4</v>
      </c>
      <c r="K39" s="73">
        <f t="shared" si="0"/>
        <v>2.4004369275295487E-7</v>
      </c>
      <c r="L39" s="3" t="s">
        <v>279</v>
      </c>
    </row>
    <row r="40" spans="1:12" x14ac:dyDescent="0.25">
      <c r="A40" s="3">
        <v>39</v>
      </c>
      <c r="B40" s="9">
        <v>225</v>
      </c>
      <c r="C40" s="72" t="s">
        <v>322</v>
      </c>
      <c r="D40" s="9">
        <v>1954</v>
      </c>
      <c r="E40" s="73">
        <f t="shared" si="2"/>
        <v>1.1726134390981847E-4</v>
      </c>
      <c r="F40" s="3" t="s">
        <v>279</v>
      </c>
      <c r="H40" s="9">
        <v>28</v>
      </c>
      <c r="I40" s="72" t="s">
        <v>288</v>
      </c>
      <c r="J40" s="9">
        <v>3</v>
      </c>
      <c r="K40" s="73">
        <f t="shared" si="0"/>
        <v>1.8003276956471617E-7</v>
      </c>
      <c r="L40" s="3" t="s">
        <v>279</v>
      </c>
    </row>
    <row r="41" spans="1:12" x14ac:dyDescent="0.25">
      <c r="A41" s="3">
        <v>40</v>
      </c>
      <c r="B41" s="9">
        <v>226</v>
      </c>
      <c r="C41" s="72" t="s">
        <v>323</v>
      </c>
      <c r="D41" s="9">
        <v>272</v>
      </c>
      <c r="E41" s="73">
        <f t="shared" si="2"/>
        <v>1.6322971107200934E-5</v>
      </c>
      <c r="F41" s="3" t="s">
        <v>279</v>
      </c>
      <c r="H41" s="9">
        <v>12</v>
      </c>
      <c r="I41" s="72" t="s">
        <v>282</v>
      </c>
      <c r="J41" s="9">
        <v>2</v>
      </c>
      <c r="K41" s="73">
        <f t="shared" si="0"/>
        <v>1.2002184637647744E-7</v>
      </c>
      <c r="L41" s="3" t="s">
        <v>279</v>
      </c>
    </row>
    <row r="42" spans="1:12" x14ac:dyDescent="0.25">
      <c r="A42" s="3">
        <v>41</v>
      </c>
      <c r="B42" s="9">
        <v>229</v>
      </c>
      <c r="C42" s="72" t="s">
        <v>324</v>
      </c>
      <c r="D42" s="9">
        <v>1198</v>
      </c>
      <c r="E42" s="73">
        <f t="shared" si="2"/>
        <v>7.1893085979509995E-5</v>
      </c>
      <c r="F42" s="3" t="s">
        <v>279</v>
      </c>
      <c r="H42" s="9">
        <v>42</v>
      </c>
      <c r="I42" s="72" t="s">
        <v>292</v>
      </c>
      <c r="J42" s="9">
        <v>2</v>
      </c>
      <c r="K42" s="73">
        <f t="shared" si="0"/>
        <v>1.2002184637647744E-7</v>
      </c>
      <c r="L42" s="3" t="s">
        <v>279</v>
      </c>
    </row>
    <row r="43" spans="1:12" x14ac:dyDescent="0.25">
      <c r="A43" s="3">
        <v>42</v>
      </c>
      <c r="B43" s="9">
        <v>236</v>
      </c>
      <c r="C43" s="72" t="s">
        <v>325</v>
      </c>
      <c r="D43" s="9">
        <v>3178</v>
      </c>
      <c r="E43" s="73">
        <f t="shared" si="2"/>
        <v>1.9071471389222266E-4</v>
      </c>
      <c r="F43" s="3" t="s">
        <v>279</v>
      </c>
      <c r="H43" s="9">
        <v>44</v>
      </c>
      <c r="I43" s="72" t="s">
        <v>293</v>
      </c>
      <c r="J43" s="9">
        <v>2</v>
      </c>
      <c r="K43" s="73">
        <f t="shared" si="0"/>
        <v>1.2002184637647744E-7</v>
      </c>
      <c r="L43" s="3" t="s">
        <v>279</v>
      </c>
    </row>
    <row r="44" spans="1:12" x14ac:dyDescent="0.25">
      <c r="A44" s="3">
        <v>43</v>
      </c>
      <c r="B44" s="9">
        <v>237</v>
      </c>
      <c r="C44" s="72" t="s">
        <v>326</v>
      </c>
      <c r="D44" s="9">
        <v>115</v>
      </c>
      <c r="E44" s="73">
        <f t="shared" si="2"/>
        <v>6.9012561666474533E-6</v>
      </c>
      <c r="F44" s="3" t="s">
        <v>279</v>
      </c>
      <c r="H44" s="9">
        <v>47</v>
      </c>
      <c r="I44" s="72" t="s">
        <v>294</v>
      </c>
      <c r="J44" s="9">
        <v>1</v>
      </c>
      <c r="K44" s="73">
        <f t="shared" si="0"/>
        <v>6.0010923188238718E-8</v>
      </c>
      <c r="L44" s="3" t="s">
        <v>279</v>
      </c>
    </row>
    <row r="45" spans="1:12" x14ac:dyDescent="0.25">
      <c r="A45" s="3">
        <v>44</v>
      </c>
      <c r="B45" s="9">
        <v>249</v>
      </c>
      <c r="C45" s="72" t="s">
        <v>327</v>
      </c>
      <c r="D45" s="9">
        <v>29</v>
      </c>
      <c r="E45" s="73">
        <f t="shared" si="2"/>
        <v>1.740316772458923E-6</v>
      </c>
      <c r="F45" s="3" t="s">
        <v>279</v>
      </c>
      <c r="H45" s="9">
        <v>60</v>
      </c>
      <c r="I45" s="72" t="s">
        <v>298</v>
      </c>
      <c r="J45" s="9">
        <v>1</v>
      </c>
      <c r="K45" s="73">
        <f t="shared" si="0"/>
        <v>6.0010923188238718E-8</v>
      </c>
      <c r="L45" s="3" t="s">
        <v>279</v>
      </c>
    </row>
    <row r="46" spans="1:12" x14ac:dyDescent="0.25">
      <c r="A46" s="3">
        <v>45</v>
      </c>
      <c r="B46" s="9">
        <v>254</v>
      </c>
      <c r="C46" s="72" t="s">
        <v>328</v>
      </c>
      <c r="D46" s="9">
        <v>51</v>
      </c>
      <c r="E46" s="73">
        <f t="shared" si="2"/>
        <v>3.0605570826001749E-6</v>
      </c>
      <c r="F46" s="3" t="s">
        <v>279</v>
      </c>
      <c r="H46" s="9">
        <v>70</v>
      </c>
      <c r="I46" s="72" t="s">
        <v>302</v>
      </c>
      <c r="J46" s="9">
        <v>1</v>
      </c>
      <c r="K46" s="73">
        <f t="shared" si="0"/>
        <v>6.0010923188238718E-8</v>
      </c>
      <c r="L46" s="3" t="s">
        <v>279</v>
      </c>
    </row>
    <row r="47" spans="1:12" x14ac:dyDescent="0.25">
      <c r="B47" s="12"/>
      <c r="C47" s="12"/>
      <c r="D47" s="65"/>
      <c r="E47" s="65"/>
    </row>
    <row r="48" spans="1:12" x14ac:dyDescent="0.25">
      <c r="B48" s="12"/>
      <c r="C48" s="67" t="s">
        <v>329</v>
      </c>
      <c r="D48" s="67">
        <f>SUM(D2:D46)</f>
        <v>16663633</v>
      </c>
      <c r="E48" s="68">
        <f>D48/$D$48</f>
        <v>1</v>
      </c>
    </row>
    <row r="49" spans="2:6" x14ac:dyDescent="0.25">
      <c r="B49" s="12"/>
      <c r="C49" s="12"/>
      <c r="D49" s="12"/>
      <c r="E49" s="12"/>
      <c r="F49" s="66"/>
    </row>
    <row r="50" spans="2:6" x14ac:dyDescent="0.25">
      <c r="B50" s="12"/>
      <c r="D50" s="71" t="s">
        <v>330</v>
      </c>
      <c r="E50" s="71" t="s">
        <v>331</v>
      </c>
      <c r="F50" s="71" t="s">
        <v>333</v>
      </c>
    </row>
    <row r="51" spans="2:6" x14ac:dyDescent="0.25">
      <c r="B51" s="12"/>
      <c r="D51" s="69" t="s">
        <v>279</v>
      </c>
      <c r="E51" s="69">
        <f t="shared" ref="E51:E56" si="3">SUMIF($F$2:$F$46,"="&amp;D51,$D$2:$D$46)</f>
        <v>10490273</v>
      </c>
      <c r="F51" s="70">
        <f t="shared" ref="F51:F56" si="4">E51/$D$48</f>
        <v>0.62953096722665458</v>
      </c>
    </row>
    <row r="52" spans="2:6" x14ac:dyDescent="0.25">
      <c r="B52" s="12"/>
      <c r="D52" s="69" t="s">
        <v>313</v>
      </c>
      <c r="E52" s="69">
        <f t="shared" si="3"/>
        <v>2673722</v>
      </c>
      <c r="F52" s="70">
        <f t="shared" si="4"/>
        <v>0.16045252556870401</v>
      </c>
    </row>
    <row r="53" spans="2:6" x14ac:dyDescent="0.25">
      <c r="B53" s="12"/>
      <c r="D53" s="69" t="s">
        <v>307</v>
      </c>
      <c r="E53" s="69">
        <f t="shared" si="3"/>
        <v>1490116</v>
      </c>
      <c r="F53" s="70">
        <f t="shared" si="4"/>
        <v>8.9423236817565532E-2</v>
      </c>
    </row>
    <row r="54" spans="2:6" x14ac:dyDescent="0.25">
      <c r="B54" s="12"/>
      <c r="D54" s="69" t="s">
        <v>317</v>
      </c>
      <c r="E54" s="69">
        <f t="shared" si="3"/>
        <v>1461670</v>
      </c>
      <c r="F54" s="70">
        <f t="shared" si="4"/>
        <v>8.7716166096552889E-2</v>
      </c>
    </row>
    <row r="55" spans="2:6" x14ac:dyDescent="0.25">
      <c r="B55" s="12"/>
      <c r="D55" s="69" t="s">
        <v>305</v>
      </c>
      <c r="E55" s="69">
        <f t="shared" si="3"/>
        <v>313873</v>
      </c>
      <c r="F55" s="70">
        <f t="shared" si="4"/>
        <v>1.8835808493862054E-2</v>
      </c>
    </row>
    <row r="56" spans="2:6" x14ac:dyDescent="0.25">
      <c r="D56" s="69" t="s">
        <v>320</v>
      </c>
      <c r="E56" s="69">
        <f t="shared" si="3"/>
        <v>233979</v>
      </c>
      <c r="F56" s="70">
        <f t="shared" si="4"/>
        <v>1.4041295796660908E-2</v>
      </c>
    </row>
  </sheetData>
  <sortState xmlns:xlrd2="http://schemas.microsoft.com/office/spreadsheetml/2017/richdata2" ref="H2:L46">
    <sortCondition descending="1" ref="K6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7"/>
  <sheetViews>
    <sheetView zoomScaleNormal="100" workbookViewId="0">
      <pane ySplit="1" topLeftCell="A2" activePane="bottomLeft" state="frozen"/>
      <selection pane="bottomLeft" activeCell="A59" sqref="A59:XFD59"/>
    </sheetView>
  </sheetViews>
  <sheetFormatPr defaultRowHeight="15" x14ac:dyDescent="0.25"/>
  <cols>
    <col min="1" max="1" width="7.28515625" style="1" bestFit="1" customWidth="1"/>
    <col min="2" max="2" width="13.28515625" style="1" bestFit="1" customWidth="1"/>
    <col min="3" max="3" width="45.5703125" bestFit="1" customWidth="1"/>
    <col min="4" max="4" width="15.5703125" style="1" bestFit="1" customWidth="1"/>
    <col min="5" max="5" width="9.5703125" style="1" bestFit="1" customWidth="1"/>
    <col min="6" max="6" width="10.28515625" style="1" bestFit="1" customWidth="1"/>
    <col min="7" max="7" width="15.5703125" style="1" bestFit="1" customWidth="1"/>
    <col min="8" max="8" width="10.5703125" style="1" bestFit="1" customWidth="1"/>
    <col min="9" max="9" width="11.140625" style="1" bestFit="1" customWidth="1"/>
    <col min="10" max="10" width="15.7109375" style="1" bestFit="1" customWidth="1"/>
    <col min="11" max="11" width="12" style="1" bestFit="1" customWidth="1"/>
    <col min="12" max="12" width="10.7109375" bestFit="1" customWidth="1"/>
    <col min="13" max="13" width="10.140625" customWidth="1"/>
    <col min="14" max="14" width="10.7109375" style="1" bestFit="1" customWidth="1"/>
    <col min="15" max="15" width="9.28515625" style="1" bestFit="1" customWidth="1"/>
    <col min="16" max="16" width="5.85546875" style="1" bestFit="1" customWidth="1"/>
    <col min="17" max="17" width="7.5703125" style="1" bestFit="1" customWidth="1"/>
    <col min="18" max="18" width="11.140625" style="1" bestFit="1" customWidth="1"/>
    <col min="19" max="19" width="10.85546875" style="1" bestFit="1" customWidth="1"/>
    <col min="20" max="22" width="12" bestFit="1" customWidth="1"/>
  </cols>
  <sheetData>
    <row r="1" spans="1:22" x14ac:dyDescent="0.2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65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74</v>
      </c>
      <c r="O1" s="4" t="s">
        <v>75</v>
      </c>
      <c r="P1" s="4" t="s">
        <v>76</v>
      </c>
      <c r="Q1" s="4" t="s">
        <v>77</v>
      </c>
      <c r="R1" s="4" t="s">
        <v>78</v>
      </c>
      <c r="S1" s="4" t="s">
        <v>79</v>
      </c>
      <c r="T1" s="13" t="s">
        <v>195</v>
      </c>
      <c r="U1" s="13" t="s">
        <v>196</v>
      </c>
      <c r="V1" s="13" t="s">
        <v>197</v>
      </c>
    </row>
    <row r="2" spans="1:22" ht="15" customHeight="1" x14ac:dyDescent="0.25">
      <c r="A2" s="3">
        <v>1</v>
      </c>
      <c r="B2" s="3" t="s">
        <v>80</v>
      </c>
      <c r="C2" s="5" t="s">
        <v>81</v>
      </c>
      <c r="D2" s="3" t="s">
        <v>82</v>
      </c>
      <c r="E2" s="6">
        <v>38.604300000000002</v>
      </c>
      <c r="F2" s="6">
        <v>-88.945899999999995</v>
      </c>
      <c r="G2" s="3" t="s">
        <v>83</v>
      </c>
      <c r="H2" s="6">
        <v>38.604292999999998</v>
      </c>
      <c r="I2" s="6">
        <v>-88.945893999999996</v>
      </c>
      <c r="J2" s="3" t="s">
        <v>84</v>
      </c>
      <c r="K2" s="7">
        <v>167.6</v>
      </c>
      <c r="L2" s="8">
        <v>21916</v>
      </c>
      <c r="M2" s="9">
        <f>YEAR(L2)</f>
        <v>1960</v>
      </c>
      <c r="N2" s="8">
        <v>43100</v>
      </c>
      <c r="O2" s="9">
        <f>YEAR(N2)</f>
        <v>2017</v>
      </c>
      <c r="P2" s="9">
        <f>YEAR(N2)-YEAR(L2)+1</f>
        <v>58</v>
      </c>
      <c r="Q2" s="10">
        <v>0.9995279679018173</v>
      </c>
      <c r="R2" s="10">
        <v>0.9990087325938164</v>
      </c>
      <c r="S2" s="10">
        <v>0.99858390370545203</v>
      </c>
      <c r="T2" s="10">
        <v>0</v>
      </c>
      <c r="U2" s="10">
        <v>0</v>
      </c>
      <c r="V2" s="10">
        <v>0</v>
      </c>
    </row>
    <row r="3" spans="1:22" x14ac:dyDescent="0.25">
      <c r="A3" s="3">
        <v>2</v>
      </c>
      <c r="B3" s="3" t="s">
        <v>85</v>
      </c>
      <c r="C3" s="5" t="s">
        <v>86</v>
      </c>
      <c r="D3" s="3" t="s">
        <v>83</v>
      </c>
      <c r="E3" s="6">
        <v>38.764200000000002</v>
      </c>
      <c r="F3" s="6">
        <v>-89.056399999999996</v>
      </c>
      <c r="G3" s="3" t="s">
        <v>83</v>
      </c>
      <c r="H3" s="6">
        <v>38.764200000000002</v>
      </c>
      <c r="I3" s="6">
        <v>-89.056399999999996</v>
      </c>
      <c r="J3" s="3" t="s">
        <v>84</v>
      </c>
      <c r="K3" s="7">
        <v>158.19999999999999</v>
      </c>
      <c r="L3" s="8">
        <v>27461</v>
      </c>
      <c r="M3" s="9">
        <f t="shared" ref="M3:M62" si="0">YEAR(L3)</f>
        <v>1975</v>
      </c>
      <c r="N3" s="8">
        <v>43100</v>
      </c>
      <c r="O3" s="9">
        <f t="shared" ref="O3:O62" si="1">YEAR(N3)</f>
        <v>2017</v>
      </c>
      <c r="P3" s="9">
        <f t="shared" ref="P3:P56" si="2">YEAR(N3)-YEAR(L3)+1</f>
        <v>43</v>
      </c>
      <c r="Q3" s="10">
        <v>0.45300511508951408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</row>
    <row r="4" spans="1:22" x14ac:dyDescent="0.25">
      <c r="A4" s="3">
        <v>3</v>
      </c>
      <c r="B4" s="3" t="s">
        <v>87</v>
      </c>
      <c r="C4" s="5" t="s">
        <v>88</v>
      </c>
      <c r="D4" s="3" t="s">
        <v>83</v>
      </c>
      <c r="E4" s="6">
        <v>39.071899999999999</v>
      </c>
      <c r="F4" s="6">
        <v>-89.700800000000001</v>
      </c>
      <c r="G4" s="3" t="s">
        <v>83</v>
      </c>
      <c r="H4" s="6">
        <v>39.071899999999999</v>
      </c>
      <c r="I4" s="6">
        <v>-89.700800000000001</v>
      </c>
      <c r="J4" s="3" t="s">
        <v>84</v>
      </c>
      <c r="K4" s="7">
        <v>210.3</v>
      </c>
      <c r="L4" s="8">
        <v>21916</v>
      </c>
      <c r="M4" s="9">
        <f t="shared" si="0"/>
        <v>1960</v>
      </c>
      <c r="N4" s="8">
        <v>43100</v>
      </c>
      <c r="O4" s="9">
        <f t="shared" si="1"/>
        <v>2017</v>
      </c>
      <c r="P4" s="9">
        <f t="shared" si="2"/>
        <v>58</v>
      </c>
      <c r="Q4" s="10">
        <v>0.97786169459523242</v>
      </c>
      <c r="R4" s="10">
        <v>4.7203209818267641E-5</v>
      </c>
      <c r="S4" s="10">
        <v>4.7203209818267641E-5</v>
      </c>
      <c r="T4" s="10">
        <v>0</v>
      </c>
      <c r="U4" s="10">
        <v>0</v>
      </c>
      <c r="V4" s="10">
        <v>0</v>
      </c>
    </row>
    <row r="5" spans="1:22" x14ac:dyDescent="0.25">
      <c r="A5" s="3">
        <v>4</v>
      </c>
      <c r="B5" s="3" t="s">
        <v>89</v>
      </c>
      <c r="C5" s="5" t="s">
        <v>90</v>
      </c>
      <c r="D5" s="3" t="s">
        <v>83</v>
      </c>
      <c r="E5" s="6">
        <v>39.156300000000002</v>
      </c>
      <c r="F5" s="6">
        <v>-90.139099999999999</v>
      </c>
      <c r="G5" s="3" t="s">
        <v>83</v>
      </c>
      <c r="H5" s="6">
        <v>39.156300000000002</v>
      </c>
      <c r="I5" s="6">
        <v>-90.139099999999999</v>
      </c>
      <c r="J5" s="3" t="s">
        <v>84</v>
      </c>
      <c r="K5" s="7">
        <v>185</v>
      </c>
      <c r="L5" s="8">
        <v>21916</v>
      </c>
      <c r="M5" s="9">
        <f t="shared" si="0"/>
        <v>1960</v>
      </c>
      <c r="N5" s="8">
        <v>43100</v>
      </c>
      <c r="O5" s="9">
        <f t="shared" si="1"/>
        <v>2017</v>
      </c>
      <c r="P5" s="9">
        <f t="shared" si="2"/>
        <v>58</v>
      </c>
      <c r="Q5" s="10">
        <v>0.92891196601368897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</row>
    <row r="6" spans="1:22" x14ac:dyDescent="0.25">
      <c r="A6" s="3">
        <v>5</v>
      </c>
      <c r="B6" s="3" t="s">
        <v>91</v>
      </c>
      <c r="C6" s="5" t="s">
        <v>92</v>
      </c>
      <c r="D6" s="3" t="s">
        <v>83</v>
      </c>
      <c r="E6" s="6">
        <v>38.770600000000002</v>
      </c>
      <c r="F6" s="6">
        <v>-88.855599999999995</v>
      </c>
      <c r="G6" s="3" t="s">
        <v>83</v>
      </c>
      <c r="H6" s="6">
        <v>38.770600000000002</v>
      </c>
      <c r="I6" s="6">
        <v>-88.855599999999995</v>
      </c>
      <c r="J6" s="3" t="s">
        <v>84</v>
      </c>
      <c r="K6" s="7">
        <v>181.7</v>
      </c>
      <c r="L6" s="8">
        <v>27395</v>
      </c>
      <c r="M6" s="9">
        <f t="shared" si="0"/>
        <v>1975</v>
      </c>
      <c r="N6" s="11">
        <v>41495</v>
      </c>
      <c r="O6" s="9">
        <f t="shared" si="1"/>
        <v>2013</v>
      </c>
      <c r="P6" s="9">
        <f t="shared" si="2"/>
        <v>39</v>
      </c>
      <c r="Q6" s="10">
        <v>0.74157861144599668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</row>
    <row r="7" spans="1:22" x14ac:dyDescent="0.25">
      <c r="A7" s="3">
        <v>6</v>
      </c>
      <c r="B7" s="3" t="s">
        <v>93</v>
      </c>
      <c r="C7" s="5" t="s">
        <v>94</v>
      </c>
      <c r="D7" s="3" t="s">
        <v>83</v>
      </c>
      <c r="E7" s="6">
        <v>38.493000000000002</v>
      </c>
      <c r="F7" s="6">
        <v>-88.970299999999995</v>
      </c>
      <c r="G7" s="3" t="s">
        <v>83</v>
      </c>
      <c r="H7" s="6">
        <v>38.493000000000002</v>
      </c>
      <c r="I7" s="6">
        <v>-88.970299999999995</v>
      </c>
      <c r="J7" s="3" t="s">
        <v>84</v>
      </c>
      <c r="K7" s="7">
        <v>173.7</v>
      </c>
      <c r="L7" s="8">
        <v>35735</v>
      </c>
      <c r="M7" s="9">
        <f t="shared" si="0"/>
        <v>1997</v>
      </c>
      <c r="N7" s="8">
        <v>43100</v>
      </c>
      <c r="O7" s="9">
        <f t="shared" si="1"/>
        <v>2017</v>
      </c>
      <c r="P7" s="9">
        <f t="shared" si="2"/>
        <v>21</v>
      </c>
      <c r="Q7" s="10">
        <v>0.98846049416236759</v>
      </c>
      <c r="R7" s="10">
        <v>0.98846049416236759</v>
      </c>
      <c r="S7" s="10">
        <v>0.98873201194678251</v>
      </c>
      <c r="T7" s="10">
        <v>0</v>
      </c>
      <c r="U7" s="10">
        <v>0</v>
      </c>
      <c r="V7" s="10">
        <v>0</v>
      </c>
    </row>
    <row r="8" spans="1:22" ht="15" customHeight="1" x14ac:dyDescent="0.25">
      <c r="A8" s="3">
        <v>7</v>
      </c>
      <c r="B8" s="3" t="s">
        <v>95</v>
      </c>
      <c r="C8" s="5" t="s">
        <v>96</v>
      </c>
      <c r="D8" s="3" t="s">
        <v>97</v>
      </c>
      <c r="E8" s="6">
        <v>39.160899999999998</v>
      </c>
      <c r="F8" s="6">
        <v>-89.491900000000001</v>
      </c>
      <c r="G8" s="3" t="s">
        <v>83</v>
      </c>
      <c r="H8" s="6">
        <v>39.160947999999998</v>
      </c>
      <c r="I8" s="6">
        <v>-89.491988000000006</v>
      </c>
      <c r="J8" s="3" t="s">
        <v>84</v>
      </c>
      <c r="K8" s="7">
        <v>192</v>
      </c>
      <c r="L8" s="8">
        <v>21916</v>
      </c>
      <c r="M8" s="9">
        <f t="shared" si="0"/>
        <v>1960</v>
      </c>
      <c r="N8" s="8">
        <v>43099</v>
      </c>
      <c r="O8" s="9">
        <f t="shared" si="1"/>
        <v>2017</v>
      </c>
      <c r="P8" s="9">
        <f t="shared" si="2"/>
        <v>58</v>
      </c>
      <c r="Q8" s="10">
        <v>0.93452605740181272</v>
      </c>
      <c r="R8" s="10">
        <v>0.97913519637462232</v>
      </c>
      <c r="S8" s="10">
        <v>0.97852152567975825</v>
      </c>
      <c r="T8" s="10">
        <v>0</v>
      </c>
      <c r="U8" s="10">
        <v>0</v>
      </c>
      <c r="V8" s="10">
        <v>0</v>
      </c>
    </row>
    <row r="9" spans="1:22" x14ac:dyDescent="0.25">
      <c r="A9" s="3">
        <v>8</v>
      </c>
      <c r="B9" s="3" t="s">
        <v>98</v>
      </c>
      <c r="C9" s="5" t="s">
        <v>99</v>
      </c>
      <c r="D9" s="3" t="s">
        <v>82</v>
      </c>
      <c r="E9" s="6">
        <v>38.864899999999999</v>
      </c>
      <c r="F9" s="6">
        <v>-89.405199999999994</v>
      </c>
      <c r="G9" s="3" t="s">
        <v>83</v>
      </c>
      <c r="H9" s="6">
        <v>38.864893000000002</v>
      </c>
      <c r="I9" s="6">
        <v>-89.405193999999995</v>
      </c>
      <c r="J9" s="3" t="s">
        <v>84</v>
      </c>
      <c r="K9" s="7">
        <v>164.9</v>
      </c>
      <c r="L9" s="8">
        <v>22037</v>
      </c>
      <c r="M9" s="9">
        <f t="shared" si="0"/>
        <v>1960</v>
      </c>
      <c r="N9" s="8">
        <v>43100</v>
      </c>
      <c r="O9" s="9">
        <f t="shared" si="1"/>
        <v>2017</v>
      </c>
      <c r="P9" s="9">
        <f t="shared" si="2"/>
        <v>58</v>
      </c>
      <c r="Q9" s="10">
        <v>0.92741169768325105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</row>
    <row r="10" spans="1:22" x14ac:dyDescent="0.25">
      <c r="A10" s="3">
        <v>9</v>
      </c>
      <c r="B10" s="3" t="s">
        <v>100</v>
      </c>
      <c r="C10" s="5" t="s">
        <v>101</v>
      </c>
      <c r="D10" s="3" t="s">
        <v>83</v>
      </c>
      <c r="E10" s="6">
        <v>39.2883</v>
      </c>
      <c r="F10" s="6">
        <v>-89.870199999999997</v>
      </c>
      <c r="G10" s="3" t="s">
        <v>83</v>
      </c>
      <c r="H10" s="6">
        <v>39.2883</v>
      </c>
      <c r="I10" s="6">
        <v>-89.870199999999997</v>
      </c>
      <c r="J10" s="3" t="s">
        <v>84</v>
      </c>
      <c r="K10" s="7">
        <v>189.3</v>
      </c>
      <c r="L10" s="8">
        <v>21916</v>
      </c>
      <c r="M10" s="9">
        <f t="shared" si="0"/>
        <v>1960</v>
      </c>
      <c r="N10" s="8">
        <v>41851</v>
      </c>
      <c r="O10" s="9">
        <f t="shared" si="1"/>
        <v>2014</v>
      </c>
      <c r="P10" s="9">
        <f t="shared" si="2"/>
        <v>55</v>
      </c>
      <c r="Q10" s="10">
        <v>0.9171849919743178</v>
      </c>
      <c r="R10" s="10">
        <v>0.9193418940609952</v>
      </c>
      <c r="S10" s="10">
        <v>0.9200943017656501</v>
      </c>
      <c r="T10" s="10">
        <v>0</v>
      </c>
      <c r="U10" s="10">
        <v>0</v>
      </c>
      <c r="V10" s="10">
        <v>0</v>
      </c>
    </row>
    <row r="11" spans="1:22" x14ac:dyDescent="0.25">
      <c r="A11" s="3">
        <v>10</v>
      </c>
      <c r="B11" s="3" t="s">
        <v>102</v>
      </c>
      <c r="C11" s="5" t="s">
        <v>103</v>
      </c>
      <c r="D11" s="3" t="s">
        <v>83</v>
      </c>
      <c r="E11" s="6">
        <v>38.213299999999997</v>
      </c>
      <c r="F11" s="6">
        <v>-89.084900000000005</v>
      </c>
      <c r="G11" s="3" t="s">
        <v>83</v>
      </c>
      <c r="H11" s="6">
        <v>38.213299999999997</v>
      </c>
      <c r="I11" s="6">
        <v>-89.084900000000005</v>
      </c>
      <c r="J11" s="3" t="s">
        <v>84</v>
      </c>
      <c r="K11" s="7">
        <v>155.80000000000001</v>
      </c>
      <c r="L11" s="8">
        <v>26359</v>
      </c>
      <c r="M11" s="9">
        <f t="shared" si="0"/>
        <v>1972</v>
      </c>
      <c r="N11" s="8">
        <v>43094</v>
      </c>
      <c r="O11" s="9">
        <f t="shared" si="1"/>
        <v>2017</v>
      </c>
      <c r="P11" s="9">
        <f t="shared" si="2"/>
        <v>46</v>
      </c>
      <c r="Q11" s="10">
        <v>0.77808317399617588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</row>
    <row r="12" spans="1:22" x14ac:dyDescent="0.25">
      <c r="A12" s="3">
        <v>11</v>
      </c>
      <c r="B12" s="3" t="s">
        <v>104</v>
      </c>
      <c r="C12" s="5" t="s">
        <v>105</v>
      </c>
      <c r="D12" s="3" t="s">
        <v>83</v>
      </c>
      <c r="E12" s="6">
        <v>38.343000000000004</v>
      </c>
      <c r="F12" s="6">
        <v>-89.358599999999996</v>
      </c>
      <c r="G12" s="3" t="s">
        <v>83</v>
      </c>
      <c r="H12" s="6">
        <v>38.343000000000004</v>
      </c>
      <c r="I12" s="6">
        <v>-89.358599999999996</v>
      </c>
      <c r="J12" s="3" t="s">
        <v>84</v>
      </c>
      <c r="K12" s="7">
        <v>156.4</v>
      </c>
      <c r="L12" s="8">
        <v>21916</v>
      </c>
      <c r="M12" s="9">
        <f t="shared" si="0"/>
        <v>1960</v>
      </c>
      <c r="N12" s="8">
        <v>43100</v>
      </c>
      <c r="O12" s="9">
        <f t="shared" si="1"/>
        <v>2017</v>
      </c>
      <c r="P12" s="9">
        <f t="shared" si="2"/>
        <v>58</v>
      </c>
      <c r="Q12" s="10">
        <v>0.9975454330894501</v>
      </c>
      <c r="R12" s="10">
        <v>0.97238612225631338</v>
      </c>
      <c r="S12" s="10">
        <v>0.97403823459995276</v>
      </c>
      <c r="T12" s="10">
        <v>0</v>
      </c>
      <c r="U12" s="10">
        <v>0</v>
      </c>
      <c r="V12" s="10">
        <v>0</v>
      </c>
    </row>
    <row r="13" spans="1:22" x14ac:dyDescent="0.25">
      <c r="A13" s="3">
        <v>12</v>
      </c>
      <c r="B13" s="3" t="s">
        <v>106</v>
      </c>
      <c r="C13" s="5" t="s">
        <v>107</v>
      </c>
      <c r="D13" s="3" t="s">
        <v>83</v>
      </c>
      <c r="E13" s="6">
        <v>38.348300000000002</v>
      </c>
      <c r="F13" s="6">
        <v>-88.853300000000004</v>
      </c>
      <c r="G13" s="3" t="s">
        <v>83</v>
      </c>
      <c r="H13" s="6">
        <v>38.348300000000002</v>
      </c>
      <c r="I13" s="6">
        <v>-88.853300000000004</v>
      </c>
      <c r="J13" s="3" t="s">
        <v>84</v>
      </c>
      <c r="K13" s="7">
        <v>149.4</v>
      </c>
      <c r="L13" s="8">
        <v>21916</v>
      </c>
      <c r="M13" s="9">
        <f t="shared" si="0"/>
        <v>1960</v>
      </c>
      <c r="N13" s="8">
        <v>43100</v>
      </c>
      <c r="O13" s="9">
        <f t="shared" si="1"/>
        <v>2017</v>
      </c>
      <c r="P13" s="9">
        <f t="shared" si="2"/>
        <v>58</v>
      </c>
      <c r="Q13" s="10">
        <v>0.98786877507670523</v>
      </c>
      <c r="R13" s="10">
        <v>0.98753835260797729</v>
      </c>
      <c r="S13" s="10">
        <v>0.98371489261269762</v>
      </c>
      <c r="T13" s="10">
        <v>0</v>
      </c>
      <c r="U13" s="10">
        <v>0</v>
      </c>
      <c r="V13" s="10">
        <v>0</v>
      </c>
    </row>
    <row r="14" spans="1:22" x14ac:dyDescent="0.25">
      <c r="A14" s="3">
        <v>13</v>
      </c>
      <c r="B14" s="3" t="s">
        <v>108</v>
      </c>
      <c r="C14" s="5" t="s">
        <v>109</v>
      </c>
      <c r="D14" s="3" t="s">
        <v>82</v>
      </c>
      <c r="E14" s="6">
        <v>38.760300000000001</v>
      </c>
      <c r="F14" s="6">
        <v>-89.656300000000002</v>
      </c>
      <c r="G14" s="3" t="s">
        <v>83</v>
      </c>
      <c r="H14" s="6">
        <v>38.760292999999997</v>
      </c>
      <c r="I14" s="6">
        <v>-89.656294000000003</v>
      </c>
      <c r="J14" s="3" t="s">
        <v>84</v>
      </c>
      <c r="K14" s="7">
        <v>160</v>
      </c>
      <c r="L14" s="8">
        <v>28399</v>
      </c>
      <c r="M14" s="9">
        <f t="shared" si="0"/>
        <v>1977</v>
      </c>
      <c r="N14" s="8">
        <v>43100</v>
      </c>
      <c r="O14" s="9">
        <f t="shared" si="1"/>
        <v>2017</v>
      </c>
      <c r="P14" s="9">
        <f t="shared" si="2"/>
        <v>41</v>
      </c>
      <c r="Q14" s="10">
        <v>0.95129914297374507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</row>
    <row r="15" spans="1:22" x14ac:dyDescent="0.25">
      <c r="A15" s="3">
        <v>14</v>
      </c>
      <c r="B15" s="3" t="s">
        <v>110</v>
      </c>
      <c r="C15" s="5" t="s">
        <v>111</v>
      </c>
      <c r="D15" s="3" t="s">
        <v>83</v>
      </c>
      <c r="E15" s="6">
        <v>38.554699999999997</v>
      </c>
      <c r="F15" s="6">
        <v>-89.1297</v>
      </c>
      <c r="G15" s="3" t="s">
        <v>83</v>
      </c>
      <c r="H15" s="6">
        <v>38.554699999999997</v>
      </c>
      <c r="I15" s="6">
        <v>-89.1297</v>
      </c>
      <c r="J15" s="3" t="s">
        <v>84</v>
      </c>
      <c r="K15" s="7">
        <v>140.19999999999999</v>
      </c>
      <c r="L15" s="8">
        <v>21916</v>
      </c>
      <c r="M15" s="9">
        <f t="shared" si="0"/>
        <v>1960</v>
      </c>
      <c r="N15" s="8">
        <v>43100</v>
      </c>
      <c r="O15" s="9">
        <f t="shared" si="1"/>
        <v>2017</v>
      </c>
      <c r="P15" s="9">
        <f t="shared" si="2"/>
        <v>58</v>
      </c>
      <c r="Q15" s="10">
        <v>0.91451498701911726</v>
      </c>
      <c r="R15" s="10">
        <v>4.8147274014632997E-3</v>
      </c>
      <c r="S15" s="10">
        <v>4.8147274014632997E-3</v>
      </c>
      <c r="T15" s="10">
        <v>0</v>
      </c>
      <c r="U15" s="10">
        <v>0</v>
      </c>
      <c r="V15" s="10">
        <v>0</v>
      </c>
    </row>
    <row r="16" spans="1:22" ht="15" customHeight="1" x14ac:dyDescent="0.25">
      <c r="A16" s="3">
        <v>15</v>
      </c>
      <c r="B16" s="3" t="s">
        <v>112</v>
      </c>
      <c r="C16" s="5" t="s">
        <v>113</v>
      </c>
      <c r="D16" s="3" t="s">
        <v>82</v>
      </c>
      <c r="E16" s="6">
        <v>38.624899999999997</v>
      </c>
      <c r="F16" s="6">
        <v>-89.363</v>
      </c>
      <c r="G16" s="3" t="s">
        <v>83</v>
      </c>
      <c r="H16" s="6">
        <v>38.624893</v>
      </c>
      <c r="I16" s="6">
        <v>-89.362994</v>
      </c>
      <c r="J16" s="3" t="s">
        <v>84</v>
      </c>
      <c r="K16" s="7">
        <v>152.69999999999999</v>
      </c>
      <c r="L16" s="8">
        <v>22859</v>
      </c>
      <c r="M16" s="9">
        <f t="shared" si="0"/>
        <v>1962</v>
      </c>
      <c r="N16" s="8">
        <v>43100</v>
      </c>
      <c r="O16" s="9">
        <f t="shared" si="1"/>
        <v>2017</v>
      </c>
      <c r="P16" s="9">
        <f t="shared" si="2"/>
        <v>56</v>
      </c>
      <c r="Q16" s="10">
        <v>0.9192273490761782</v>
      </c>
      <c r="R16" s="10">
        <v>0.90055330500938646</v>
      </c>
      <c r="S16" s="10">
        <v>0.9003062938444818</v>
      </c>
      <c r="T16" s="10">
        <v>0</v>
      </c>
      <c r="U16" s="10">
        <v>0</v>
      </c>
      <c r="V16" s="10">
        <v>0</v>
      </c>
    </row>
    <row r="17" spans="1:22" x14ac:dyDescent="0.25">
      <c r="A17" s="3">
        <v>16</v>
      </c>
      <c r="B17" s="3" t="s">
        <v>114</v>
      </c>
      <c r="C17" s="5" t="s">
        <v>115</v>
      </c>
      <c r="D17" s="3" t="s">
        <v>83</v>
      </c>
      <c r="E17" s="6">
        <v>38.866300000000003</v>
      </c>
      <c r="F17" s="6">
        <v>-90.146299999999997</v>
      </c>
      <c r="G17" s="3" t="s">
        <v>83</v>
      </c>
      <c r="H17" s="6">
        <v>38.866300000000003</v>
      </c>
      <c r="I17" s="6">
        <v>-90.146299999999997</v>
      </c>
      <c r="J17" s="3" t="s">
        <v>84</v>
      </c>
      <c r="K17" s="7">
        <v>132.6</v>
      </c>
      <c r="L17" s="8">
        <v>21916</v>
      </c>
      <c r="M17" s="9">
        <f t="shared" si="0"/>
        <v>1960</v>
      </c>
      <c r="N17" s="8">
        <v>43100</v>
      </c>
      <c r="O17" s="9">
        <f t="shared" si="1"/>
        <v>2017</v>
      </c>
      <c r="P17" s="9">
        <f t="shared" si="2"/>
        <v>58</v>
      </c>
      <c r="Q17" s="10">
        <v>0.93967429785225398</v>
      </c>
      <c r="R17" s="10">
        <v>0.92919518527259859</v>
      </c>
      <c r="S17" s="10">
        <v>0.92456927071040829</v>
      </c>
      <c r="T17" s="10">
        <v>0</v>
      </c>
      <c r="U17" s="10">
        <v>0</v>
      </c>
      <c r="V17" s="10">
        <v>0</v>
      </c>
    </row>
    <row r="18" spans="1:22" x14ac:dyDescent="0.25">
      <c r="A18" s="3">
        <v>17</v>
      </c>
      <c r="B18" s="3" t="s">
        <v>116</v>
      </c>
      <c r="C18" s="5" t="s">
        <v>117</v>
      </c>
      <c r="D18" s="3" t="s">
        <v>83</v>
      </c>
      <c r="E18" s="6">
        <v>38.5411</v>
      </c>
      <c r="F18" s="6">
        <v>-89.628900000000002</v>
      </c>
      <c r="G18" s="3" t="s">
        <v>83</v>
      </c>
      <c r="H18" s="6">
        <v>38.5411</v>
      </c>
      <c r="I18" s="6">
        <v>-89.628900000000002</v>
      </c>
      <c r="J18" s="3" t="s">
        <v>84</v>
      </c>
      <c r="K18" s="7">
        <v>131.1</v>
      </c>
      <c r="L18" s="8">
        <v>28369</v>
      </c>
      <c r="M18" s="9">
        <f t="shared" si="0"/>
        <v>1977</v>
      </c>
      <c r="N18" s="8">
        <v>42592</v>
      </c>
      <c r="O18" s="9">
        <f t="shared" si="1"/>
        <v>2016</v>
      </c>
      <c r="P18" s="9">
        <f t="shared" si="2"/>
        <v>40</v>
      </c>
      <c r="Q18" s="10">
        <v>0.80378233970753654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</row>
    <row r="19" spans="1:22" x14ac:dyDescent="0.25">
      <c r="A19" s="3">
        <v>18</v>
      </c>
      <c r="B19" s="3" t="s">
        <v>118</v>
      </c>
      <c r="C19" s="5" t="s">
        <v>119</v>
      </c>
      <c r="D19" s="3" t="s">
        <v>83</v>
      </c>
      <c r="E19" s="6">
        <v>38.366390000000003</v>
      </c>
      <c r="F19" s="6">
        <v>-90.161940000000001</v>
      </c>
      <c r="G19" s="3" t="s">
        <v>83</v>
      </c>
      <c r="H19" s="6">
        <v>38.366390000000003</v>
      </c>
      <c r="I19" s="6">
        <v>-90.161940000000001</v>
      </c>
      <c r="J19" s="3" t="s">
        <v>84</v>
      </c>
      <c r="K19" s="7">
        <v>201.5</v>
      </c>
      <c r="L19" s="8">
        <v>21916</v>
      </c>
      <c r="M19" s="9">
        <f t="shared" si="0"/>
        <v>1960</v>
      </c>
      <c r="N19" s="8">
        <v>41822</v>
      </c>
      <c r="O19" s="9">
        <f t="shared" si="1"/>
        <v>2014</v>
      </c>
      <c r="P19" s="9">
        <f t="shared" si="2"/>
        <v>55</v>
      </c>
      <c r="Q19" s="10">
        <v>0.877480283317426</v>
      </c>
      <c r="R19" s="10">
        <v>0.71788818003717281</v>
      </c>
      <c r="S19" s="10">
        <v>0.71783794645099719</v>
      </c>
      <c r="T19" s="10">
        <v>0</v>
      </c>
      <c r="U19" s="10">
        <v>0</v>
      </c>
      <c r="V19" s="10">
        <v>0</v>
      </c>
    </row>
    <row r="20" spans="1:22" x14ac:dyDescent="0.25">
      <c r="A20" s="3">
        <v>19</v>
      </c>
      <c r="B20" s="3" t="s">
        <v>120</v>
      </c>
      <c r="C20" s="5" t="s">
        <v>121</v>
      </c>
      <c r="D20" s="3" t="s">
        <v>83</v>
      </c>
      <c r="E20" s="6">
        <v>38.097999999999999</v>
      </c>
      <c r="F20" s="6">
        <v>-89.381900000000002</v>
      </c>
      <c r="G20" s="3" t="s">
        <v>83</v>
      </c>
      <c r="H20" s="6">
        <v>38.097999999999999</v>
      </c>
      <c r="I20" s="6">
        <v>-89.381900000000002</v>
      </c>
      <c r="J20" s="3" t="s">
        <v>84</v>
      </c>
      <c r="K20" s="7">
        <v>131.1</v>
      </c>
      <c r="L20" s="8">
        <v>26359</v>
      </c>
      <c r="M20" s="9">
        <f t="shared" si="0"/>
        <v>1972</v>
      </c>
      <c r="N20" s="8">
        <v>43100</v>
      </c>
      <c r="O20" s="9">
        <f t="shared" si="1"/>
        <v>2017</v>
      </c>
      <c r="P20" s="9">
        <f t="shared" si="2"/>
        <v>46</v>
      </c>
      <c r="Q20" s="10">
        <v>0.78682355752000954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</row>
    <row r="21" spans="1:22" x14ac:dyDescent="0.25">
      <c r="A21" s="3">
        <v>20</v>
      </c>
      <c r="B21" s="3" t="s">
        <v>122</v>
      </c>
      <c r="C21" s="5" t="s">
        <v>123</v>
      </c>
      <c r="D21" s="3" t="s">
        <v>83</v>
      </c>
      <c r="E21" s="6">
        <v>38.809899999999999</v>
      </c>
      <c r="F21" s="6">
        <v>-90.003</v>
      </c>
      <c r="G21" s="3" t="s">
        <v>83</v>
      </c>
      <c r="H21" s="6">
        <v>38.809899999999999</v>
      </c>
      <c r="I21" s="6">
        <v>-90.003</v>
      </c>
      <c r="J21" s="3" t="s">
        <v>84</v>
      </c>
      <c r="K21" s="7">
        <v>152.4</v>
      </c>
      <c r="L21" s="8">
        <v>21916</v>
      </c>
      <c r="M21" s="9">
        <f t="shared" si="0"/>
        <v>1960</v>
      </c>
      <c r="N21" s="8">
        <v>43100</v>
      </c>
      <c r="O21" s="9">
        <f t="shared" si="1"/>
        <v>2017</v>
      </c>
      <c r="P21" s="9">
        <f t="shared" si="2"/>
        <v>58</v>
      </c>
      <c r="Q21" s="10">
        <v>0.8977578475336323</v>
      </c>
      <c r="R21" s="10">
        <v>1.5813075289119662E-2</v>
      </c>
      <c r="S21" s="10">
        <v>1.5813075289119662E-2</v>
      </c>
      <c r="T21" s="10">
        <v>0</v>
      </c>
      <c r="U21" s="10">
        <v>0</v>
      </c>
      <c r="V21" s="10">
        <v>0</v>
      </c>
    </row>
    <row r="22" spans="1:22" x14ac:dyDescent="0.25">
      <c r="A22" s="3">
        <v>21</v>
      </c>
      <c r="B22" s="3" t="s">
        <v>124</v>
      </c>
      <c r="C22" s="5" t="s">
        <v>125</v>
      </c>
      <c r="D22" s="3" t="s">
        <v>83</v>
      </c>
      <c r="E22" s="6">
        <v>37.987699999999997</v>
      </c>
      <c r="F22" s="6">
        <v>-89.192999999999998</v>
      </c>
      <c r="G22" s="3" t="s">
        <v>83</v>
      </c>
      <c r="H22" s="6">
        <v>37.987699999999997</v>
      </c>
      <c r="I22" s="6">
        <v>-89.192999999999998</v>
      </c>
      <c r="J22" s="3" t="s">
        <v>84</v>
      </c>
      <c r="K22" s="7">
        <v>128</v>
      </c>
      <c r="L22" s="8">
        <v>21916</v>
      </c>
      <c r="M22" s="9">
        <f t="shared" si="0"/>
        <v>1960</v>
      </c>
      <c r="N22" s="8">
        <v>43100</v>
      </c>
      <c r="O22" s="9">
        <f t="shared" si="1"/>
        <v>2017</v>
      </c>
      <c r="P22" s="9">
        <f t="shared" si="2"/>
        <v>58</v>
      </c>
      <c r="Q22" s="10">
        <v>0.97965541656832666</v>
      </c>
      <c r="R22" s="10">
        <v>0.97252773188576824</v>
      </c>
      <c r="S22" s="10">
        <v>0.97101722917158362</v>
      </c>
      <c r="T22" s="10">
        <v>0</v>
      </c>
      <c r="U22" s="10">
        <v>0</v>
      </c>
      <c r="V22" s="10">
        <v>0</v>
      </c>
    </row>
    <row r="23" spans="1:22" x14ac:dyDescent="0.25">
      <c r="A23" s="3">
        <v>22</v>
      </c>
      <c r="B23" s="3" t="s">
        <v>126</v>
      </c>
      <c r="C23" s="5" t="s">
        <v>127</v>
      </c>
      <c r="D23" s="3" t="s">
        <v>83</v>
      </c>
      <c r="E23" s="6">
        <v>37.730800000000002</v>
      </c>
      <c r="F23" s="6">
        <v>-89.165800000000004</v>
      </c>
      <c r="G23" s="3" t="s">
        <v>83</v>
      </c>
      <c r="H23" s="6">
        <v>37.730800000000002</v>
      </c>
      <c r="I23" s="6">
        <v>-89.165800000000004</v>
      </c>
      <c r="J23" s="3" t="s">
        <v>84</v>
      </c>
      <c r="K23" s="7">
        <v>118.9</v>
      </c>
      <c r="L23" s="8">
        <v>21916</v>
      </c>
      <c r="M23" s="9">
        <f t="shared" si="0"/>
        <v>1960</v>
      </c>
      <c r="N23" s="8">
        <v>43100</v>
      </c>
      <c r="O23" s="9">
        <f t="shared" si="1"/>
        <v>2017</v>
      </c>
      <c r="P23" s="9">
        <f t="shared" si="2"/>
        <v>58</v>
      </c>
      <c r="Q23" s="10">
        <v>0.96709936275666741</v>
      </c>
      <c r="R23" s="10">
        <v>0.96171819683738491</v>
      </c>
      <c r="S23" s="10">
        <v>0.96384234127920698</v>
      </c>
      <c r="T23" s="10">
        <v>0</v>
      </c>
      <c r="U23" s="10">
        <v>0</v>
      </c>
      <c r="V23" s="10">
        <v>0</v>
      </c>
    </row>
    <row r="24" spans="1:22" x14ac:dyDescent="0.25">
      <c r="A24" s="3">
        <v>23</v>
      </c>
      <c r="B24" s="3" t="s">
        <v>128</v>
      </c>
      <c r="C24" s="5" t="s">
        <v>129</v>
      </c>
      <c r="D24" s="3" t="s">
        <v>84</v>
      </c>
      <c r="E24" s="6">
        <v>38.571390000000001</v>
      </c>
      <c r="F24" s="6">
        <v>-90.157219999999995</v>
      </c>
      <c r="G24" s="3" t="s">
        <v>83</v>
      </c>
      <c r="H24" s="6">
        <v>38.571390000000001</v>
      </c>
      <c r="I24" s="6">
        <v>-90.157219999999995</v>
      </c>
      <c r="J24" s="3" t="s">
        <v>84</v>
      </c>
      <c r="K24" s="7">
        <v>125.9</v>
      </c>
      <c r="L24" s="8">
        <v>35589</v>
      </c>
      <c r="M24" s="9">
        <f t="shared" si="0"/>
        <v>1997</v>
      </c>
      <c r="N24" s="8">
        <v>43100</v>
      </c>
      <c r="O24" s="9">
        <f t="shared" si="1"/>
        <v>2017</v>
      </c>
      <c r="P24" s="9">
        <f t="shared" si="2"/>
        <v>21</v>
      </c>
      <c r="Q24" s="10">
        <v>0.95859957401490947</v>
      </c>
      <c r="R24" s="10">
        <v>0.98974973375931841</v>
      </c>
      <c r="S24" s="10">
        <v>0.9894834930777423</v>
      </c>
      <c r="T24" s="10">
        <v>0</v>
      </c>
      <c r="U24" s="10">
        <v>0</v>
      </c>
      <c r="V24" s="10">
        <v>0</v>
      </c>
    </row>
    <row r="25" spans="1:22" x14ac:dyDescent="0.25">
      <c r="A25" s="3">
        <v>24</v>
      </c>
      <c r="B25" s="3" t="s">
        <v>130</v>
      </c>
      <c r="C25" s="5" t="s">
        <v>131</v>
      </c>
      <c r="D25" s="3" t="s">
        <v>83</v>
      </c>
      <c r="E25" s="6">
        <v>38.5199</v>
      </c>
      <c r="F25" s="6">
        <v>-89.846599999999995</v>
      </c>
      <c r="G25" s="3" t="s">
        <v>83</v>
      </c>
      <c r="H25" s="6">
        <v>38.5199</v>
      </c>
      <c r="I25" s="6">
        <v>-89.846599999999995</v>
      </c>
      <c r="J25" s="3" t="s">
        <v>84</v>
      </c>
      <c r="K25" s="7">
        <v>137.19999999999999</v>
      </c>
      <c r="L25" s="8">
        <v>21916</v>
      </c>
      <c r="M25" s="9">
        <f t="shared" si="0"/>
        <v>1960</v>
      </c>
      <c r="N25" s="8">
        <v>43100</v>
      </c>
      <c r="O25" s="9">
        <f t="shared" si="1"/>
        <v>2017</v>
      </c>
      <c r="P25" s="9">
        <f t="shared" si="2"/>
        <v>58</v>
      </c>
      <c r="Q25" s="10">
        <v>0.99324994099598773</v>
      </c>
      <c r="R25" s="10">
        <v>0.99532688222799148</v>
      </c>
      <c r="S25" s="10">
        <v>0.99348595704507903</v>
      </c>
      <c r="T25" s="10">
        <v>0</v>
      </c>
      <c r="U25" s="10">
        <v>0</v>
      </c>
      <c r="V25" s="10">
        <v>0</v>
      </c>
    </row>
    <row r="26" spans="1:22" x14ac:dyDescent="0.25">
      <c r="A26" s="3">
        <v>25</v>
      </c>
      <c r="B26" s="3" t="s">
        <v>132</v>
      </c>
      <c r="C26" s="5" t="s">
        <v>133</v>
      </c>
      <c r="D26" s="3" t="s">
        <v>83</v>
      </c>
      <c r="E26" s="6">
        <v>37.902200000000001</v>
      </c>
      <c r="F26" s="6">
        <v>-89.830799999999996</v>
      </c>
      <c r="G26" s="3" t="s">
        <v>83</v>
      </c>
      <c r="H26" s="6">
        <v>37.902200000000001</v>
      </c>
      <c r="I26" s="6">
        <v>-89.830799999999996</v>
      </c>
      <c r="J26" s="3" t="s">
        <v>84</v>
      </c>
      <c r="K26" s="7">
        <v>130.5</v>
      </c>
      <c r="L26" s="8">
        <v>21916</v>
      </c>
      <c r="M26" s="9">
        <f t="shared" si="0"/>
        <v>1960</v>
      </c>
      <c r="N26" s="8">
        <v>43100</v>
      </c>
      <c r="O26" s="9">
        <f t="shared" si="1"/>
        <v>2017</v>
      </c>
      <c r="P26" s="9">
        <f t="shared" si="2"/>
        <v>58</v>
      </c>
      <c r="Q26" s="10">
        <v>0.99386358272362518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</row>
    <row r="27" spans="1:22" x14ac:dyDescent="0.25">
      <c r="A27" s="3">
        <v>26</v>
      </c>
      <c r="B27" s="3" t="s">
        <v>134</v>
      </c>
      <c r="C27" s="5" t="s">
        <v>135</v>
      </c>
      <c r="D27" s="3" t="s">
        <v>83</v>
      </c>
      <c r="E27" s="6">
        <v>37.984200000000001</v>
      </c>
      <c r="F27" s="6">
        <v>-89.949200000000005</v>
      </c>
      <c r="G27" s="3" t="s">
        <v>83</v>
      </c>
      <c r="H27" s="6">
        <v>37.984200000000001</v>
      </c>
      <c r="I27" s="6">
        <v>-89.949200000000005</v>
      </c>
      <c r="J27" s="3" t="s">
        <v>84</v>
      </c>
      <c r="K27" s="7">
        <v>115.8</v>
      </c>
      <c r="L27" s="8">
        <v>27120</v>
      </c>
      <c r="M27" s="9">
        <f t="shared" si="0"/>
        <v>1974</v>
      </c>
      <c r="N27" s="8">
        <v>43100</v>
      </c>
      <c r="O27" s="9">
        <f t="shared" si="1"/>
        <v>2017</v>
      </c>
      <c r="P27" s="9">
        <f t="shared" si="2"/>
        <v>44</v>
      </c>
      <c r="Q27" s="10">
        <v>0.92559914898942497</v>
      </c>
      <c r="R27" s="10">
        <v>0.92203241349102061</v>
      </c>
      <c r="S27" s="10">
        <v>0.92347162255178028</v>
      </c>
      <c r="T27" s="10">
        <v>0</v>
      </c>
      <c r="U27" s="10">
        <v>0</v>
      </c>
      <c r="V27" s="10">
        <v>0</v>
      </c>
    </row>
    <row r="28" spans="1:22" x14ac:dyDescent="0.25">
      <c r="A28" s="3">
        <v>27</v>
      </c>
      <c r="B28" s="3" t="s">
        <v>136</v>
      </c>
      <c r="C28" s="5" t="s">
        <v>137</v>
      </c>
      <c r="D28" s="3" t="s">
        <v>83</v>
      </c>
      <c r="E28" s="6">
        <v>38.185200000000002</v>
      </c>
      <c r="F28" s="6">
        <v>-89.928299999999993</v>
      </c>
      <c r="G28" s="3" t="s">
        <v>83</v>
      </c>
      <c r="H28" s="6">
        <v>38.185200000000002</v>
      </c>
      <c r="I28" s="6">
        <v>-89.928299999999993</v>
      </c>
      <c r="J28" s="3" t="s">
        <v>84</v>
      </c>
      <c r="K28" s="7">
        <v>131.1</v>
      </c>
      <c r="L28" s="8">
        <v>21916</v>
      </c>
      <c r="M28" s="9">
        <f t="shared" si="0"/>
        <v>1960</v>
      </c>
      <c r="N28" s="8">
        <v>43100</v>
      </c>
      <c r="O28" s="9">
        <f t="shared" si="1"/>
        <v>2017</v>
      </c>
      <c r="P28" s="9">
        <f t="shared" si="2"/>
        <v>58</v>
      </c>
      <c r="Q28" s="10">
        <v>0.94448902525371725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</row>
    <row r="29" spans="1:22" x14ac:dyDescent="0.25">
      <c r="A29" s="3">
        <v>28</v>
      </c>
      <c r="B29" s="3" t="s">
        <v>138</v>
      </c>
      <c r="C29" s="5" t="s">
        <v>139</v>
      </c>
      <c r="D29" s="3" t="s">
        <v>83</v>
      </c>
      <c r="E29" s="6">
        <v>38.003300000000003</v>
      </c>
      <c r="F29" s="6">
        <v>-89.650300000000001</v>
      </c>
      <c r="G29" s="3" t="s">
        <v>83</v>
      </c>
      <c r="H29" s="6">
        <v>38.003300000000003</v>
      </c>
      <c r="I29" s="6">
        <v>-89.650300000000001</v>
      </c>
      <c r="J29" s="3" t="s">
        <v>84</v>
      </c>
      <c r="K29" s="7">
        <v>131.1</v>
      </c>
      <c r="L29" s="8">
        <v>26085</v>
      </c>
      <c r="M29" s="9">
        <f t="shared" si="0"/>
        <v>1971</v>
      </c>
      <c r="N29" s="8">
        <v>43100</v>
      </c>
      <c r="O29" s="9">
        <f t="shared" si="1"/>
        <v>2017</v>
      </c>
      <c r="P29" s="9">
        <f t="shared" si="2"/>
        <v>47</v>
      </c>
      <c r="Q29" s="10">
        <v>0.64686177715091675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</row>
    <row r="30" spans="1:22" x14ac:dyDescent="0.25">
      <c r="A30" s="3">
        <v>29</v>
      </c>
      <c r="B30" s="3" t="s">
        <v>140</v>
      </c>
      <c r="C30" s="5" t="s">
        <v>141</v>
      </c>
      <c r="D30" s="3" t="s">
        <v>84</v>
      </c>
      <c r="E30" s="6">
        <v>39.411999999999999</v>
      </c>
      <c r="F30" s="6">
        <v>-88.796099999999996</v>
      </c>
      <c r="G30" s="3" t="s">
        <v>83</v>
      </c>
      <c r="H30" s="6">
        <v>39.411999999999999</v>
      </c>
      <c r="I30" s="6">
        <v>-88.796099999999996</v>
      </c>
      <c r="J30" s="3" t="s">
        <v>84</v>
      </c>
      <c r="K30" s="7">
        <v>200.9</v>
      </c>
      <c r="L30" s="8">
        <v>35963</v>
      </c>
      <c r="M30" s="9">
        <f t="shared" si="0"/>
        <v>1998</v>
      </c>
      <c r="N30" s="8">
        <v>43100</v>
      </c>
      <c r="O30" s="9">
        <f t="shared" si="1"/>
        <v>2017</v>
      </c>
      <c r="P30" s="9">
        <f t="shared" si="2"/>
        <v>20</v>
      </c>
      <c r="Q30" s="10">
        <v>0.52998038666293079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</row>
    <row r="31" spans="1:22" x14ac:dyDescent="0.25">
      <c r="A31" s="3">
        <v>30</v>
      </c>
      <c r="B31" s="3" t="s">
        <v>142</v>
      </c>
      <c r="C31" s="5" t="s">
        <v>143</v>
      </c>
      <c r="D31" s="3" t="s">
        <v>84</v>
      </c>
      <c r="E31" s="6">
        <v>39.282699999999998</v>
      </c>
      <c r="F31" s="6">
        <v>-88.797300000000007</v>
      </c>
      <c r="G31" s="3" t="s">
        <v>83</v>
      </c>
      <c r="H31" s="6">
        <v>39.282699999999998</v>
      </c>
      <c r="I31" s="6">
        <v>-88.797300000000007</v>
      </c>
      <c r="J31" s="3" t="s">
        <v>84</v>
      </c>
      <c r="K31" s="7">
        <v>180.4</v>
      </c>
      <c r="L31" s="8">
        <v>35963</v>
      </c>
      <c r="M31" s="9">
        <f t="shared" si="0"/>
        <v>1998</v>
      </c>
      <c r="N31" s="8">
        <v>43100</v>
      </c>
      <c r="O31" s="9">
        <f t="shared" si="1"/>
        <v>2017</v>
      </c>
      <c r="P31" s="9">
        <f t="shared" si="2"/>
        <v>20</v>
      </c>
      <c r="Q31" s="10">
        <v>0.30008405715886804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</row>
    <row r="32" spans="1:22" x14ac:dyDescent="0.25">
      <c r="A32" s="3">
        <v>31</v>
      </c>
      <c r="B32" s="3" t="s">
        <v>144</v>
      </c>
      <c r="C32" s="5" t="s">
        <v>145</v>
      </c>
      <c r="D32" s="3" t="s">
        <v>83</v>
      </c>
      <c r="E32" s="6">
        <v>39.181220000000003</v>
      </c>
      <c r="F32" s="6">
        <v>-88.782660000000007</v>
      </c>
      <c r="G32" s="3" t="s">
        <v>83</v>
      </c>
      <c r="H32" s="6">
        <v>39.181220000000003</v>
      </c>
      <c r="I32" s="6">
        <v>-88.782660000000007</v>
      </c>
      <c r="J32" s="3" t="s">
        <v>84</v>
      </c>
      <c r="K32" s="7">
        <v>185.3</v>
      </c>
      <c r="L32" s="8">
        <v>27273</v>
      </c>
      <c r="M32" s="9">
        <f t="shared" si="0"/>
        <v>1974</v>
      </c>
      <c r="N32" s="8">
        <v>43100</v>
      </c>
      <c r="O32" s="9">
        <f t="shared" si="1"/>
        <v>2017</v>
      </c>
      <c r="P32" s="9">
        <f t="shared" si="2"/>
        <v>44</v>
      </c>
      <c r="Q32" s="10">
        <v>0.94023249936820819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</row>
    <row r="33" spans="1:22" x14ac:dyDescent="0.25">
      <c r="A33" s="3">
        <v>32</v>
      </c>
      <c r="B33" s="3" t="s">
        <v>146</v>
      </c>
      <c r="C33" s="5" t="s">
        <v>147</v>
      </c>
      <c r="D33" s="3" t="s">
        <v>83</v>
      </c>
      <c r="E33" s="6">
        <v>39.118099999999998</v>
      </c>
      <c r="F33" s="6">
        <v>-88.624399999999994</v>
      </c>
      <c r="G33" s="3" t="s">
        <v>83</v>
      </c>
      <c r="H33" s="6">
        <v>39.118099999999998</v>
      </c>
      <c r="I33" s="6">
        <v>-88.624399999999994</v>
      </c>
      <c r="J33" s="3" t="s">
        <v>84</v>
      </c>
      <c r="K33" s="7">
        <v>190.5</v>
      </c>
      <c r="L33" s="8">
        <v>21916</v>
      </c>
      <c r="M33" s="9">
        <f t="shared" si="0"/>
        <v>1960</v>
      </c>
      <c r="N33" s="8">
        <v>43100</v>
      </c>
      <c r="O33" s="9">
        <f t="shared" si="1"/>
        <v>2017</v>
      </c>
      <c r="P33" s="9">
        <f t="shared" si="2"/>
        <v>58</v>
      </c>
      <c r="Q33" s="10">
        <v>0.93750295020061369</v>
      </c>
      <c r="R33" s="10">
        <v>0.9355676185980647</v>
      </c>
      <c r="S33" s="10">
        <v>0.93547321217842816</v>
      </c>
      <c r="T33" s="10">
        <v>0</v>
      </c>
      <c r="U33" s="10">
        <v>0</v>
      </c>
      <c r="V33" s="10">
        <v>0</v>
      </c>
    </row>
    <row r="34" spans="1:22" x14ac:dyDescent="0.25">
      <c r="A34" s="3">
        <v>33</v>
      </c>
      <c r="B34" s="3" t="s">
        <v>148</v>
      </c>
      <c r="C34" s="5" t="s">
        <v>149</v>
      </c>
      <c r="D34" s="3" t="s">
        <v>83</v>
      </c>
      <c r="E34" s="6">
        <v>39.589399999999998</v>
      </c>
      <c r="F34" s="6">
        <v>-89.455500000000001</v>
      </c>
      <c r="G34" s="3" t="s">
        <v>83</v>
      </c>
      <c r="H34" s="6">
        <v>39.589399999999998</v>
      </c>
      <c r="I34" s="6">
        <v>-89.455500000000001</v>
      </c>
      <c r="J34" s="3" t="s">
        <v>84</v>
      </c>
      <c r="K34" s="7">
        <v>179.8</v>
      </c>
      <c r="L34" s="8">
        <v>26755</v>
      </c>
      <c r="M34" s="9">
        <f t="shared" si="0"/>
        <v>1973</v>
      </c>
      <c r="N34" s="8">
        <v>43100</v>
      </c>
      <c r="O34" s="9">
        <f t="shared" si="1"/>
        <v>2017</v>
      </c>
      <c r="P34" s="9">
        <f t="shared" si="2"/>
        <v>45</v>
      </c>
      <c r="Q34" s="10">
        <v>0.92750520004894166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</row>
    <row r="35" spans="1:22" x14ac:dyDescent="0.25">
      <c r="A35" s="3">
        <v>34</v>
      </c>
      <c r="B35" s="3" t="s">
        <v>150</v>
      </c>
      <c r="C35" s="5" t="s">
        <v>151</v>
      </c>
      <c r="D35" s="3" t="s">
        <v>83</v>
      </c>
      <c r="E35" s="6">
        <v>39.415700000000001</v>
      </c>
      <c r="F35" s="6">
        <v>-89.461500000000001</v>
      </c>
      <c r="G35" s="3" t="s">
        <v>83</v>
      </c>
      <c r="H35" s="6">
        <v>39.415700000000001</v>
      </c>
      <c r="I35" s="6">
        <v>-89.461500000000001</v>
      </c>
      <c r="J35" s="3" t="s">
        <v>84</v>
      </c>
      <c r="K35" s="7">
        <v>192</v>
      </c>
      <c r="L35" s="8">
        <v>29160</v>
      </c>
      <c r="M35" s="9">
        <f t="shared" si="0"/>
        <v>1979</v>
      </c>
      <c r="N35" s="8">
        <v>43077</v>
      </c>
      <c r="O35" s="9">
        <f t="shared" si="1"/>
        <v>2017</v>
      </c>
      <c r="P35" s="9">
        <f t="shared" si="2"/>
        <v>39</v>
      </c>
      <c r="Q35" s="10">
        <v>0.92182784882885471</v>
      </c>
      <c r="R35" s="10">
        <v>0.91895387268285678</v>
      </c>
      <c r="S35" s="10">
        <v>0.91888202327920676</v>
      </c>
      <c r="T35" s="10">
        <v>0</v>
      </c>
      <c r="U35" s="10">
        <v>0</v>
      </c>
      <c r="V35" s="10">
        <v>0</v>
      </c>
    </row>
    <row r="36" spans="1:22" x14ac:dyDescent="0.25">
      <c r="A36" s="3">
        <v>35</v>
      </c>
      <c r="B36" s="3" t="s">
        <v>152</v>
      </c>
      <c r="C36" s="5" t="s">
        <v>153</v>
      </c>
      <c r="D36" s="3" t="s">
        <v>83</v>
      </c>
      <c r="E36" s="6">
        <v>39.587899999999998</v>
      </c>
      <c r="F36" s="6">
        <v>-89.015900000000002</v>
      </c>
      <c r="G36" s="3" t="s">
        <v>83</v>
      </c>
      <c r="H36" s="6">
        <v>39.587899999999998</v>
      </c>
      <c r="I36" s="6">
        <v>-89.015900000000002</v>
      </c>
      <c r="J36" s="3" t="s">
        <v>84</v>
      </c>
      <c r="K36" s="7">
        <v>190.5</v>
      </c>
      <c r="L36" s="8">
        <v>23245</v>
      </c>
      <c r="M36" s="9">
        <f t="shared" si="0"/>
        <v>1963</v>
      </c>
      <c r="N36" s="8">
        <v>43100</v>
      </c>
      <c r="O36" s="9">
        <f t="shared" si="1"/>
        <v>2017</v>
      </c>
      <c r="P36" s="9">
        <f t="shared" si="2"/>
        <v>55</v>
      </c>
      <c r="Q36" s="10">
        <v>0.89605157131345692</v>
      </c>
      <c r="R36" s="10">
        <v>0.64504431909750204</v>
      </c>
      <c r="S36" s="10">
        <v>0.64368452860596292</v>
      </c>
      <c r="T36" s="10">
        <v>0</v>
      </c>
      <c r="U36" s="10">
        <v>0</v>
      </c>
      <c r="V36" s="10">
        <v>0</v>
      </c>
    </row>
    <row r="37" spans="1:22" x14ac:dyDescent="0.25">
      <c r="A37" s="3">
        <v>36</v>
      </c>
      <c r="B37" s="3" t="s">
        <v>154</v>
      </c>
      <c r="C37" s="5" t="s">
        <v>155</v>
      </c>
      <c r="D37" s="3" t="s">
        <v>83</v>
      </c>
      <c r="E37" s="6">
        <v>39.368699999999997</v>
      </c>
      <c r="F37" s="6">
        <v>-89.086699999999993</v>
      </c>
      <c r="G37" s="3" t="s">
        <v>83</v>
      </c>
      <c r="H37" s="6">
        <v>39.368699999999997</v>
      </c>
      <c r="I37" s="6">
        <v>-89.086699999999993</v>
      </c>
      <c r="J37" s="3" t="s">
        <v>84</v>
      </c>
      <c r="K37" s="7">
        <v>198.1</v>
      </c>
      <c r="L37" s="8">
        <v>21916</v>
      </c>
      <c r="M37" s="9">
        <f t="shared" si="0"/>
        <v>1960</v>
      </c>
      <c r="N37" s="8">
        <v>43100</v>
      </c>
      <c r="O37" s="9">
        <f t="shared" si="1"/>
        <v>2017</v>
      </c>
      <c r="P37" s="9">
        <f t="shared" si="2"/>
        <v>58</v>
      </c>
      <c r="Q37" s="10">
        <v>0.95794194005192357</v>
      </c>
      <c r="R37" s="10">
        <v>0.95440169931555341</v>
      </c>
      <c r="S37" s="10">
        <v>0.95562898277082842</v>
      </c>
      <c r="T37" s="10">
        <v>0</v>
      </c>
      <c r="U37" s="10">
        <v>0</v>
      </c>
      <c r="V37" s="10">
        <v>0</v>
      </c>
    </row>
    <row r="38" spans="1:22" x14ac:dyDescent="0.25">
      <c r="A38" s="3">
        <v>37</v>
      </c>
      <c r="B38" s="3" t="s">
        <v>156</v>
      </c>
      <c r="C38" s="5" t="s">
        <v>157</v>
      </c>
      <c r="D38" s="3" t="s">
        <v>83</v>
      </c>
      <c r="E38" s="6">
        <v>39.148299999999999</v>
      </c>
      <c r="F38" s="6">
        <v>-89.102199999999996</v>
      </c>
      <c r="G38" s="3" t="s">
        <v>83</v>
      </c>
      <c r="H38" s="6">
        <v>39.148299999999999</v>
      </c>
      <c r="I38" s="6">
        <v>-89.102199999999996</v>
      </c>
      <c r="J38" s="3" t="s">
        <v>84</v>
      </c>
      <c r="K38" s="7">
        <v>182.9</v>
      </c>
      <c r="L38" s="8">
        <v>27061</v>
      </c>
      <c r="M38" s="9">
        <f t="shared" si="0"/>
        <v>1974</v>
      </c>
      <c r="N38" s="8">
        <v>43100</v>
      </c>
      <c r="O38" s="9">
        <f t="shared" si="1"/>
        <v>2017</v>
      </c>
      <c r="P38" s="9">
        <f t="shared" si="2"/>
        <v>44</v>
      </c>
      <c r="Q38" s="10">
        <v>0.86228179551122197</v>
      </c>
      <c r="R38" s="10">
        <v>0.61365336658354119</v>
      </c>
      <c r="S38" s="10">
        <v>0.61390274314214466</v>
      </c>
      <c r="T38" s="10">
        <v>0</v>
      </c>
      <c r="U38" s="10">
        <v>0</v>
      </c>
      <c r="V38" s="10">
        <v>0</v>
      </c>
    </row>
    <row r="39" spans="1:22" x14ac:dyDescent="0.25">
      <c r="A39" s="3">
        <v>38</v>
      </c>
      <c r="B39" s="3" t="s">
        <v>158</v>
      </c>
      <c r="C39" s="5" t="s">
        <v>159</v>
      </c>
      <c r="D39" s="3" t="s">
        <v>83</v>
      </c>
      <c r="E39" s="6">
        <v>39.407899999999998</v>
      </c>
      <c r="F39" s="6">
        <v>-88.773899999999998</v>
      </c>
      <c r="G39" s="3" t="s">
        <v>83</v>
      </c>
      <c r="H39" s="6">
        <v>39.407899999999998</v>
      </c>
      <c r="I39" s="6">
        <v>-88.773899999999998</v>
      </c>
      <c r="J39" s="3" t="s">
        <v>84</v>
      </c>
      <c r="K39" s="7">
        <v>199.6</v>
      </c>
      <c r="L39" s="8">
        <v>26816</v>
      </c>
      <c r="M39" s="9">
        <f t="shared" si="0"/>
        <v>1973</v>
      </c>
      <c r="N39" s="8">
        <v>43100</v>
      </c>
      <c r="O39" s="9">
        <f t="shared" si="1"/>
        <v>2017</v>
      </c>
      <c r="P39" s="9">
        <f t="shared" si="2"/>
        <v>45</v>
      </c>
      <c r="Q39" s="10">
        <v>0.72502302732575985</v>
      </c>
      <c r="R39" s="10">
        <v>0.72361068467915257</v>
      </c>
      <c r="S39" s="10">
        <v>0.7269266195885784</v>
      </c>
      <c r="T39" s="10">
        <v>0</v>
      </c>
      <c r="U39" s="10">
        <v>0</v>
      </c>
      <c r="V39" s="10">
        <v>0</v>
      </c>
    </row>
    <row r="40" spans="1:22" x14ac:dyDescent="0.25">
      <c r="A40" s="3">
        <v>39</v>
      </c>
      <c r="B40" s="3" t="s">
        <v>160</v>
      </c>
      <c r="C40" s="5" t="s">
        <v>161</v>
      </c>
      <c r="D40" s="3" t="s">
        <v>83</v>
      </c>
      <c r="E40" s="6">
        <v>39.5334</v>
      </c>
      <c r="F40" s="6">
        <v>-89.306899999999999</v>
      </c>
      <c r="G40" s="3" t="s">
        <v>83</v>
      </c>
      <c r="H40" s="6">
        <v>39.5334</v>
      </c>
      <c r="I40" s="6">
        <v>-89.306899999999999</v>
      </c>
      <c r="J40" s="3" t="s">
        <v>84</v>
      </c>
      <c r="K40" s="7">
        <v>191.4</v>
      </c>
      <c r="L40" s="8">
        <v>21916</v>
      </c>
      <c r="M40" s="9">
        <f t="shared" si="0"/>
        <v>1960</v>
      </c>
      <c r="N40" s="8">
        <v>42745</v>
      </c>
      <c r="O40" s="9">
        <f t="shared" si="1"/>
        <v>2017</v>
      </c>
      <c r="P40" s="9">
        <f t="shared" si="2"/>
        <v>58</v>
      </c>
      <c r="Q40" s="10">
        <v>0.47570811329812768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</row>
    <row r="41" spans="1:22" x14ac:dyDescent="0.25">
      <c r="A41" s="3">
        <v>40</v>
      </c>
      <c r="B41" s="3" t="s">
        <v>162</v>
      </c>
      <c r="C41" s="5" t="s">
        <v>163</v>
      </c>
      <c r="D41" s="3" t="s">
        <v>83</v>
      </c>
      <c r="E41" s="6">
        <v>38.957999999999998</v>
      </c>
      <c r="F41" s="6">
        <v>-89.095200000000006</v>
      </c>
      <c r="G41" s="3" t="s">
        <v>83</v>
      </c>
      <c r="H41" s="6">
        <v>38.957999999999998</v>
      </c>
      <c r="I41" s="6">
        <v>-89.095200000000006</v>
      </c>
      <c r="J41" s="3" t="s">
        <v>84</v>
      </c>
      <c r="K41" s="7">
        <v>152.4</v>
      </c>
      <c r="L41" s="8">
        <v>26785</v>
      </c>
      <c r="M41" s="9">
        <f t="shared" si="0"/>
        <v>1973</v>
      </c>
      <c r="N41" s="8">
        <v>43100</v>
      </c>
      <c r="O41" s="9">
        <f t="shared" si="1"/>
        <v>2017</v>
      </c>
      <c r="P41" s="9">
        <f t="shared" si="2"/>
        <v>45</v>
      </c>
      <c r="Q41" s="10">
        <v>0.90402059328266737</v>
      </c>
      <c r="R41" s="10">
        <v>0.79400588379504777</v>
      </c>
      <c r="S41" s="10">
        <v>0.79137043392988482</v>
      </c>
      <c r="T41" s="10">
        <v>0</v>
      </c>
      <c r="U41" s="10">
        <v>0</v>
      </c>
      <c r="V41" s="10">
        <v>0</v>
      </c>
    </row>
    <row r="42" spans="1:22" x14ac:dyDescent="0.25">
      <c r="A42" s="3">
        <v>41</v>
      </c>
      <c r="B42" s="3" t="s">
        <v>164</v>
      </c>
      <c r="C42" s="5" t="s">
        <v>165</v>
      </c>
      <c r="D42" s="3" t="s">
        <v>83</v>
      </c>
      <c r="E42" s="6">
        <v>39.445900000000002</v>
      </c>
      <c r="F42" s="6">
        <v>-88.596199999999996</v>
      </c>
      <c r="G42" s="3" t="s">
        <v>83</v>
      </c>
      <c r="H42" s="6">
        <v>39.445900000000002</v>
      </c>
      <c r="I42" s="6">
        <v>-88.596199999999996</v>
      </c>
      <c r="J42" s="3" t="s">
        <v>84</v>
      </c>
      <c r="K42" s="7">
        <v>210.3</v>
      </c>
      <c r="L42" s="8">
        <v>21916</v>
      </c>
      <c r="M42" s="9">
        <f t="shared" si="0"/>
        <v>1960</v>
      </c>
      <c r="N42" s="8">
        <v>43099</v>
      </c>
      <c r="O42" s="9">
        <f t="shared" si="1"/>
        <v>2017</v>
      </c>
      <c r="P42" s="9">
        <f t="shared" si="2"/>
        <v>58</v>
      </c>
      <c r="Q42" s="10">
        <v>0.98475264350453173</v>
      </c>
      <c r="R42" s="10">
        <v>0.9669089879154078</v>
      </c>
      <c r="S42" s="10">
        <v>0.96681457703927487</v>
      </c>
      <c r="T42" s="10">
        <v>0</v>
      </c>
      <c r="U42" s="10">
        <v>0</v>
      </c>
      <c r="V42" s="10">
        <v>0</v>
      </c>
    </row>
    <row r="43" spans="1:22" x14ac:dyDescent="0.25">
      <c r="A43" s="3">
        <v>42</v>
      </c>
      <c r="B43" s="3" t="s">
        <v>166</v>
      </c>
      <c r="C43" s="5" t="s">
        <v>167</v>
      </c>
      <c r="D43" s="3" t="s">
        <v>83</v>
      </c>
      <c r="E43" s="6">
        <v>39.476199999999999</v>
      </c>
      <c r="F43" s="6">
        <v>-88.165199999999999</v>
      </c>
      <c r="G43" s="3" t="s">
        <v>83</v>
      </c>
      <c r="H43" s="6">
        <v>39.476199999999999</v>
      </c>
      <c r="I43" s="6">
        <v>-88.165199999999999</v>
      </c>
      <c r="J43" s="3" t="s">
        <v>84</v>
      </c>
      <c r="K43" s="7">
        <v>213.4</v>
      </c>
      <c r="L43" s="8">
        <v>21916</v>
      </c>
      <c r="M43" s="9">
        <f t="shared" si="0"/>
        <v>1960</v>
      </c>
      <c r="N43" s="8">
        <v>43100</v>
      </c>
      <c r="O43" s="9">
        <f t="shared" si="1"/>
        <v>2017</v>
      </c>
      <c r="P43" s="9">
        <f t="shared" si="2"/>
        <v>58</v>
      </c>
      <c r="Q43" s="10">
        <v>0.96875147510030679</v>
      </c>
      <c r="R43" s="10">
        <v>0.97531272126504598</v>
      </c>
      <c r="S43" s="10">
        <v>0.9741326410195893</v>
      </c>
      <c r="T43" s="10">
        <v>0</v>
      </c>
      <c r="U43" s="10">
        <v>0</v>
      </c>
      <c r="V43" s="10">
        <v>0</v>
      </c>
    </row>
    <row r="44" spans="1:22" x14ac:dyDescent="0.25">
      <c r="A44" s="3">
        <v>43</v>
      </c>
      <c r="B44" s="3" t="s">
        <v>168</v>
      </c>
      <c r="C44" s="5" t="s">
        <v>169</v>
      </c>
      <c r="D44" s="3" t="s">
        <v>83</v>
      </c>
      <c r="E44" s="6">
        <v>39.828800000000001</v>
      </c>
      <c r="F44" s="6">
        <v>-88.950500000000005</v>
      </c>
      <c r="G44" s="3" t="s">
        <v>83</v>
      </c>
      <c r="H44" s="6">
        <v>39.828800000000001</v>
      </c>
      <c r="I44" s="6">
        <v>-88.950500000000005</v>
      </c>
      <c r="J44" s="3" t="s">
        <v>84</v>
      </c>
      <c r="K44" s="7">
        <v>194.8</v>
      </c>
      <c r="L44" s="8">
        <v>21916</v>
      </c>
      <c r="M44" s="9">
        <f t="shared" si="0"/>
        <v>1960</v>
      </c>
      <c r="N44" s="8">
        <v>43100</v>
      </c>
      <c r="O44" s="9">
        <f t="shared" si="1"/>
        <v>2017</v>
      </c>
      <c r="P44" s="9">
        <f t="shared" si="2"/>
        <v>58</v>
      </c>
      <c r="Q44" s="10">
        <v>0.99022004889975546</v>
      </c>
      <c r="R44" s="10">
        <v>0.98844623423941702</v>
      </c>
      <c r="S44" s="10">
        <v>0.98370008149959254</v>
      </c>
      <c r="T44" s="10">
        <v>0</v>
      </c>
      <c r="U44" s="10">
        <v>0</v>
      </c>
      <c r="V44" s="10">
        <v>0</v>
      </c>
    </row>
    <row r="45" spans="1:22" x14ac:dyDescent="0.25">
      <c r="A45" s="3">
        <v>44</v>
      </c>
      <c r="B45" s="3" t="s">
        <v>170</v>
      </c>
      <c r="C45" s="5" t="s">
        <v>171</v>
      </c>
      <c r="D45" s="3" t="s">
        <v>83</v>
      </c>
      <c r="E45" s="6">
        <v>40.317500000000003</v>
      </c>
      <c r="F45" s="6">
        <v>-88.350399999999993</v>
      </c>
      <c r="G45" s="3" t="s">
        <v>83</v>
      </c>
      <c r="H45" s="6">
        <v>40.317500000000003</v>
      </c>
      <c r="I45" s="6">
        <v>-88.350399999999993</v>
      </c>
      <c r="J45" s="3" t="s">
        <v>84</v>
      </c>
      <c r="K45" s="7">
        <v>219.2</v>
      </c>
      <c r="L45" s="8">
        <v>35735</v>
      </c>
      <c r="M45" s="9">
        <f t="shared" si="0"/>
        <v>1997</v>
      </c>
      <c r="N45" s="8">
        <v>43100</v>
      </c>
      <c r="O45" s="9">
        <f t="shared" si="1"/>
        <v>2017</v>
      </c>
      <c r="P45" s="9">
        <f t="shared" si="2"/>
        <v>21</v>
      </c>
      <c r="Q45" s="10">
        <v>0.97746402389356501</v>
      </c>
      <c r="R45" s="10">
        <v>6.6929133858267723E-2</v>
      </c>
      <c r="S45" s="10">
        <v>6.7064892750475155E-2</v>
      </c>
      <c r="T45" s="10">
        <v>0</v>
      </c>
      <c r="U45" s="10">
        <v>0</v>
      </c>
      <c r="V45" s="10">
        <v>0</v>
      </c>
    </row>
    <row r="46" spans="1:22" x14ac:dyDescent="0.25">
      <c r="A46" s="3">
        <v>45</v>
      </c>
      <c r="B46" s="3" t="s">
        <v>172</v>
      </c>
      <c r="C46" s="5" t="s">
        <v>173</v>
      </c>
      <c r="D46" s="3" t="s">
        <v>83</v>
      </c>
      <c r="E46" s="6">
        <v>39.801400000000001</v>
      </c>
      <c r="F46" s="6">
        <v>-88.592799999999997</v>
      </c>
      <c r="G46" s="3" t="s">
        <v>83</v>
      </c>
      <c r="H46" s="6">
        <v>39.801400000000001</v>
      </c>
      <c r="I46" s="6">
        <v>-88.592799999999997</v>
      </c>
      <c r="J46" s="3" t="s">
        <v>84</v>
      </c>
      <c r="K46" s="7">
        <v>201.2</v>
      </c>
      <c r="L46" s="8">
        <v>33604</v>
      </c>
      <c r="M46" s="9">
        <f t="shared" si="0"/>
        <v>1992</v>
      </c>
      <c r="N46" s="8">
        <v>42400</v>
      </c>
      <c r="O46" s="9">
        <f t="shared" si="1"/>
        <v>2016</v>
      </c>
      <c r="P46" s="9">
        <f t="shared" si="2"/>
        <v>25</v>
      </c>
      <c r="Q46" s="10">
        <v>0.78492667954984652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</row>
    <row r="47" spans="1:22" x14ac:dyDescent="0.25">
      <c r="A47" s="3">
        <v>46</v>
      </c>
      <c r="B47" s="3" t="s">
        <v>174</v>
      </c>
      <c r="C47" s="5" t="s">
        <v>175</v>
      </c>
      <c r="D47" s="3" t="s">
        <v>83</v>
      </c>
      <c r="E47" s="6">
        <v>39.4726</v>
      </c>
      <c r="F47" s="6">
        <v>-88.354500000000002</v>
      </c>
      <c r="G47" s="3" t="s">
        <v>83</v>
      </c>
      <c r="H47" s="6">
        <v>39.4726</v>
      </c>
      <c r="I47" s="6">
        <v>-88.354500000000002</v>
      </c>
      <c r="J47" s="3" t="s">
        <v>84</v>
      </c>
      <c r="K47" s="7">
        <v>213.7</v>
      </c>
      <c r="L47" s="8">
        <v>21916</v>
      </c>
      <c r="M47" s="9">
        <f t="shared" si="0"/>
        <v>1960</v>
      </c>
      <c r="N47" s="8">
        <v>43100</v>
      </c>
      <c r="O47" s="9">
        <f t="shared" si="1"/>
        <v>2017</v>
      </c>
      <c r="P47" s="9">
        <f t="shared" si="2"/>
        <v>58</v>
      </c>
      <c r="Q47" s="10">
        <v>0.99787585555817793</v>
      </c>
      <c r="R47" s="10">
        <v>0.72386122256313434</v>
      </c>
      <c r="S47" s="10">
        <v>0.72390842577295256</v>
      </c>
      <c r="T47" s="10">
        <v>0</v>
      </c>
      <c r="U47" s="10">
        <v>0</v>
      </c>
      <c r="V47" s="10">
        <v>0</v>
      </c>
    </row>
    <row r="48" spans="1:22" x14ac:dyDescent="0.25">
      <c r="A48" s="3">
        <v>47</v>
      </c>
      <c r="B48" s="3" t="s">
        <v>176</v>
      </c>
      <c r="C48" s="5" t="s">
        <v>177</v>
      </c>
      <c r="D48" s="3" t="s">
        <v>83</v>
      </c>
      <c r="E48" s="6">
        <v>40.0383</v>
      </c>
      <c r="F48" s="6">
        <v>-88.5852</v>
      </c>
      <c r="G48" s="3" t="s">
        <v>83</v>
      </c>
      <c r="H48" s="6">
        <v>40.0383</v>
      </c>
      <c r="I48" s="6">
        <v>-88.5852</v>
      </c>
      <c r="J48" s="3" t="s">
        <v>84</v>
      </c>
      <c r="K48" s="7">
        <v>189</v>
      </c>
      <c r="L48" s="8">
        <v>23712</v>
      </c>
      <c r="M48" s="9">
        <f t="shared" si="0"/>
        <v>1964</v>
      </c>
      <c r="N48" s="8">
        <v>40091</v>
      </c>
      <c r="O48" s="9">
        <f t="shared" si="1"/>
        <v>2009</v>
      </c>
      <c r="P48" s="9">
        <f t="shared" si="2"/>
        <v>46</v>
      </c>
      <c r="Q48" s="10">
        <v>0.91532356532356529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</row>
    <row r="49" spans="1:22" x14ac:dyDescent="0.25">
      <c r="A49" s="3">
        <v>48</v>
      </c>
      <c r="B49" s="3" t="s">
        <v>178</v>
      </c>
      <c r="C49" s="5" t="s">
        <v>179</v>
      </c>
      <c r="D49" s="3" t="s">
        <v>83</v>
      </c>
      <c r="E49" s="6">
        <v>40.006300000000003</v>
      </c>
      <c r="F49" s="6">
        <v>-88.153199999999998</v>
      </c>
      <c r="G49" s="3" t="s">
        <v>83</v>
      </c>
      <c r="H49" s="6">
        <v>40.006300000000003</v>
      </c>
      <c r="I49" s="6">
        <v>-88.153199999999998</v>
      </c>
      <c r="J49" s="3" t="s">
        <v>84</v>
      </c>
      <c r="K49" s="7">
        <v>219.5</v>
      </c>
      <c r="L49" s="8">
        <v>37622</v>
      </c>
      <c r="M49" s="9">
        <f t="shared" si="0"/>
        <v>2003</v>
      </c>
      <c r="N49" s="8">
        <v>43098</v>
      </c>
      <c r="O49" s="9">
        <f t="shared" si="1"/>
        <v>2017</v>
      </c>
      <c r="P49" s="9">
        <f t="shared" si="2"/>
        <v>15</v>
      </c>
      <c r="Q49" s="10">
        <v>0.93481833120321345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</row>
    <row r="50" spans="1:22" x14ac:dyDescent="0.25">
      <c r="A50" s="3">
        <v>49</v>
      </c>
      <c r="B50" s="3" t="s">
        <v>180</v>
      </c>
      <c r="C50" s="5" t="s">
        <v>181</v>
      </c>
      <c r="D50" s="3" t="s">
        <v>83</v>
      </c>
      <c r="E50" s="6">
        <v>39.5608</v>
      </c>
      <c r="F50" s="6">
        <v>-88.6066</v>
      </c>
      <c r="G50" s="3" t="s">
        <v>83</v>
      </c>
      <c r="H50" s="6">
        <v>39.5608</v>
      </c>
      <c r="I50" s="6">
        <v>-88.6066</v>
      </c>
      <c r="J50" s="3" t="s">
        <v>84</v>
      </c>
      <c r="K50" s="7">
        <v>196.3</v>
      </c>
      <c r="L50" s="8">
        <v>29830</v>
      </c>
      <c r="M50" s="9">
        <f t="shared" si="0"/>
        <v>1981</v>
      </c>
      <c r="N50" s="8">
        <v>43100</v>
      </c>
      <c r="O50" s="9">
        <f t="shared" si="1"/>
        <v>2017</v>
      </c>
      <c r="P50" s="9">
        <f t="shared" si="2"/>
        <v>37</v>
      </c>
      <c r="Q50" s="10">
        <v>0.69972119659407728</v>
      </c>
      <c r="R50" s="10">
        <v>0.43553613141436215</v>
      </c>
      <c r="S50" s="10">
        <v>0.43538542687062015</v>
      </c>
      <c r="T50" s="10">
        <v>0</v>
      </c>
      <c r="U50" s="10">
        <v>0</v>
      </c>
      <c r="V50" s="10">
        <v>0</v>
      </c>
    </row>
    <row r="51" spans="1:22" x14ac:dyDescent="0.25">
      <c r="A51" s="3">
        <v>50</v>
      </c>
      <c r="B51" s="3" t="s">
        <v>182</v>
      </c>
      <c r="C51" s="5" t="s">
        <v>183</v>
      </c>
      <c r="D51" s="3" t="s">
        <v>83</v>
      </c>
      <c r="E51" s="6">
        <v>39.794649999999997</v>
      </c>
      <c r="F51" s="6">
        <v>-88.291060000000002</v>
      </c>
      <c r="G51" s="3" t="s">
        <v>83</v>
      </c>
      <c r="H51" s="6">
        <v>39.794649999999997</v>
      </c>
      <c r="I51" s="6">
        <v>-88.291060000000002</v>
      </c>
      <c r="J51" s="3" t="s">
        <v>84</v>
      </c>
      <c r="K51" s="7">
        <v>198.4</v>
      </c>
      <c r="L51" s="8">
        <v>21916</v>
      </c>
      <c r="M51" s="9">
        <f t="shared" si="0"/>
        <v>1960</v>
      </c>
      <c r="N51" s="8">
        <v>43100</v>
      </c>
      <c r="O51" s="9">
        <f t="shared" si="1"/>
        <v>2017</v>
      </c>
      <c r="P51" s="9">
        <f t="shared" si="2"/>
        <v>58</v>
      </c>
      <c r="Q51" s="10">
        <v>0.97564314373377392</v>
      </c>
      <c r="R51" s="10">
        <v>0.96993155534576347</v>
      </c>
      <c r="S51" s="10">
        <v>0.96860986547085204</v>
      </c>
      <c r="T51" s="10">
        <v>0</v>
      </c>
      <c r="U51" s="10">
        <v>0</v>
      </c>
      <c r="V51" s="10">
        <v>0</v>
      </c>
    </row>
    <row r="52" spans="1:22" x14ac:dyDescent="0.25">
      <c r="A52" s="3">
        <v>51</v>
      </c>
      <c r="B52" s="3" t="s">
        <v>184</v>
      </c>
      <c r="C52" s="5" t="s">
        <v>185</v>
      </c>
      <c r="D52" s="3" t="s">
        <v>83</v>
      </c>
      <c r="E52" s="6">
        <v>40.084000000000003</v>
      </c>
      <c r="F52" s="6">
        <v>-88.240399999999994</v>
      </c>
      <c r="G52" s="3" t="s">
        <v>83</v>
      </c>
      <c r="H52" s="6">
        <v>40.084000000000003</v>
      </c>
      <c r="I52" s="6">
        <v>-88.240399999999994</v>
      </c>
      <c r="J52" s="3" t="s">
        <v>84</v>
      </c>
      <c r="K52" s="7">
        <v>219.8</v>
      </c>
      <c r="L52" s="8">
        <v>21916</v>
      </c>
      <c r="M52" s="9">
        <f t="shared" si="0"/>
        <v>1960</v>
      </c>
      <c r="N52" s="8">
        <v>43100</v>
      </c>
      <c r="O52" s="9">
        <f t="shared" si="1"/>
        <v>2017</v>
      </c>
      <c r="P52" s="9">
        <f t="shared" si="2"/>
        <v>58</v>
      </c>
      <c r="Q52" s="10">
        <v>0.99825348123672408</v>
      </c>
      <c r="R52" s="10">
        <v>0.9995279679018173</v>
      </c>
      <c r="S52" s="10">
        <v>0.99948076469199909</v>
      </c>
      <c r="T52" s="10">
        <v>0</v>
      </c>
      <c r="U52" s="10">
        <v>0</v>
      </c>
      <c r="V52" s="10">
        <v>0</v>
      </c>
    </row>
    <row r="53" spans="1:22" x14ac:dyDescent="0.25">
      <c r="A53" s="3">
        <v>52</v>
      </c>
      <c r="B53" s="3" t="s">
        <v>186</v>
      </c>
      <c r="C53" s="5" t="s">
        <v>187</v>
      </c>
      <c r="D53" s="3" t="s">
        <v>83</v>
      </c>
      <c r="E53" s="6">
        <v>40.313000000000002</v>
      </c>
      <c r="F53" s="6">
        <v>-88.159800000000004</v>
      </c>
      <c r="G53" s="3" t="s">
        <v>83</v>
      </c>
      <c r="H53" s="6">
        <v>40.313000000000002</v>
      </c>
      <c r="I53" s="6">
        <v>-88.159800000000004</v>
      </c>
      <c r="J53" s="3" t="s">
        <v>84</v>
      </c>
      <c r="K53" s="7">
        <v>230.1</v>
      </c>
      <c r="L53" s="8">
        <v>21916</v>
      </c>
      <c r="M53" s="9">
        <f t="shared" si="0"/>
        <v>1960</v>
      </c>
      <c r="N53" s="8">
        <v>43100</v>
      </c>
      <c r="O53" s="9">
        <f t="shared" si="1"/>
        <v>2017</v>
      </c>
      <c r="P53" s="9">
        <f t="shared" si="2"/>
        <v>58</v>
      </c>
      <c r="Q53" s="10">
        <v>0.97738966249704984</v>
      </c>
      <c r="R53" s="10">
        <v>0.97408543780977108</v>
      </c>
      <c r="S53" s="10">
        <v>0.97554873731413738</v>
      </c>
      <c r="T53" s="10">
        <v>0</v>
      </c>
      <c r="U53" s="10">
        <v>0</v>
      </c>
      <c r="V53" s="10">
        <v>0</v>
      </c>
    </row>
    <row r="54" spans="1:22" x14ac:dyDescent="0.25">
      <c r="A54" s="3">
        <v>53</v>
      </c>
      <c r="B54" s="3" t="s">
        <v>188</v>
      </c>
      <c r="C54" s="5" t="s">
        <v>189</v>
      </c>
      <c r="D54" s="3" t="s">
        <v>84</v>
      </c>
      <c r="E54" s="6">
        <v>39.478059999999999</v>
      </c>
      <c r="F54" s="6">
        <v>-88.280280000000005</v>
      </c>
      <c r="G54" s="3" t="s">
        <v>83</v>
      </c>
      <c r="H54" s="6">
        <v>39.478059999999999</v>
      </c>
      <c r="I54" s="6">
        <v>-88.280280000000005</v>
      </c>
      <c r="J54" s="3" t="s">
        <v>84</v>
      </c>
      <c r="K54" s="7">
        <v>219.8</v>
      </c>
      <c r="L54" s="8">
        <v>35796</v>
      </c>
      <c r="M54" s="9">
        <f t="shared" si="0"/>
        <v>1998</v>
      </c>
      <c r="N54" s="8">
        <v>43100</v>
      </c>
      <c r="O54" s="9">
        <f t="shared" si="1"/>
        <v>2017</v>
      </c>
      <c r="P54" s="9">
        <f t="shared" si="2"/>
        <v>20</v>
      </c>
      <c r="Q54" s="10">
        <v>0.9838466803559206</v>
      </c>
      <c r="R54" s="10">
        <v>0.9913757700205339</v>
      </c>
      <c r="S54" s="10">
        <v>0.99082819986310744</v>
      </c>
      <c r="T54" s="10">
        <v>0</v>
      </c>
      <c r="U54" s="10">
        <v>0</v>
      </c>
      <c r="V54" s="10">
        <v>0</v>
      </c>
    </row>
    <row r="55" spans="1:22" x14ac:dyDescent="0.25">
      <c r="A55" s="3">
        <v>54</v>
      </c>
      <c r="B55" s="3" t="s">
        <v>190</v>
      </c>
      <c r="C55" s="5" t="s">
        <v>191</v>
      </c>
      <c r="D55" s="3" t="s">
        <v>84</v>
      </c>
      <c r="E55" s="6">
        <v>40.039720000000003</v>
      </c>
      <c r="F55" s="6">
        <v>-88.277780000000007</v>
      </c>
      <c r="G55" s="3" t="s">
        <v>83</v>
      </c>
      <c r="H55" s="6">
        <v>40.039720000000003</v>
      </c>
      <c r="I55" s="6">
        <v>-88.277780000000007</v>
      </c>
      <c r="J55" s="3" t="s">
        <v>84</v>
      </c>
      <c r="K55" s="7">
        <v>229.8</v>
      </c>
      <c r="L55" s="8">
        <v>35582</v>
      </c>
      <c r="M55" s="9">
        <f t="shared" si="0"/>
        <v>1997</v>
      </c>
      <c r="N55" s="8">
        <v>43100</v>
      </c>
      <c r="O55" s="9">
        <f t="shared" si="1"/>
        <v>2017</v>
      </c>
      <c r="P55" s="9">
        <f t="shared" si="2"/>
        <v>21</v>
      </c>
      <c r="Q55" s="10">
        <v>0.95770714190716855</v>
      </c>
      <c r="R55" s="10">
        <v>0.99561111849980055</v>
      </c>
      <c r="S55" s="10">
        <v>0.99521212927250968</v>
      </c>
      <c r="T55" s="10">
        <v>0</v>
      </c>
      <c r="U55" s="10">
        <v>0</v>
      </c>
      <c r="V55" s="10">
        <v>0</v>
      </c>
    </row>
    <row r="56" spans="1:22" x14ac:dyDescent="0.25">
      <c r="A56" s="3">
        <v>55</v>
      </c>
      <c r="B56" s="3" t="s">
        <v>198</v>
      </c>
      <c r="C56" s="5" t="s">
        <v>217</v>
      </c>
      <c r="D56" s="3" t="s">
        <v>84</v>
      </c>
      <c r="E56" s="6">
        <v>40.0839</v>
      </c>
      <c r="F56" s="6">
        <v>-88.240300000000005</v>
      </c>
      <c r="G56" s="3" t="s">
        <v>83</v>
      </c>
      <c r="H56" s="6">
        <v>40.0839</v>
      </c>
      <c r="I56" s="6">
        <v>-88.240300000000005</v>
      </c>
      <c r="J56" s="3" t="s">
        <v>84</v>
      </c>
      <c r="K56" s="7">
        <v>219</v>
      </c>
      <c r="L56" s="11">
        <v>32555</v>
      </c>
      <c r="M56" s="9">
        <f t="shared" si="0"/>
        <v>1989</v>
      </c>
      <c r="N56" s="11">
        <v>43100</v>
      </c>
      <c r="O56" s="9">
        <f t="shared" si="1"/>
        <v>2017</v>
      </c>
      <c r="P56" s="9">
        <f t="shared" si="2"/>
        <v>29</v>
      </c>
      <c r="Q56" s="10">
        <v>0.9761995069220557</v>
      </c>
      <c r="R56" s="10">
        <v>0.99952588659207287</v>
      </c>
      <c r="S56" s="10">
        <v>0.99962070927365831</v>
      </c>
      <c r="T56" s="10">
        <v>0.99943106391048742</v>
      </c>
      <c r="U56" s="10">
        <v>0.99990517731841455</v>
      </c>
      <c r="V56" s="10">
        <v>0.99867248245780393</v>
      </c>
    </row>
    <row r="57" spans="1:22" x14ac:dyDescent="0.25">
      <c r="A57" s="3">
        <v>56</v>
      </c>
      <c r="B57" s="3" t="s">
        <v>199</v>
      </c>
      <c r="C57" s="5" t="s">
        <v>200</v>
      </c>
      <c r="D57" s="3" t="s">
        <v>84</v>
      </c>
      <c r="E57" s="6">
        <v>40.0533</v>
      </c>
      <c r="F57" s="6">
        <v>-88.371700000000004</v>
      </c>
      <c r="G57" s="3" t="s">
        <v>83</v>
      </c>
      <c r="H57" s="6">
        <v>40.0533</v>
      </c>
      <c r="I57" s="6">
        <v>-88.371700000000004</v>
      </c>
      <c r="J57" s="3" t="s">
        <v>84</v>
      </c>
      <c r="K57" s="7">
        <v>213</v>
      </c>
      <c r="L57" s="8">
        <v>33105</v>
      </c>
      <c r="M57" s="9">
        <f t="shared" si="0"/>
        <v>1990</v>
      </c>
      <c r="N57" s="8">
        <v>43100</v>
      </c>
      <c r="O57" s="9">
        <f t="shared" si="1"/>
        <v>2017</v>
      </c>
      <c r="P57" s="9">
        <f t="shared" ref="P57:P62" si="3">YEAR(N57)-YEAR(L57)+1</f>
        <v>28</v>
      </c>
      <c r="Q57" s="10">
        <v>0.99399759903961582</v>
      </c>
      <c r="R57" s="10">
        <v>1</v>
      </c>
      <c r="S57" s="10">
        <v>1</v>
      </c>
      <c r="T57" s="10">
        <v>0.99989995998399361</v>
      </c>
      <c r="U57" s="10">
        <v>0.99819927971188471</v>
      </c>
      <c r="V57" s="10">
        <v>0.9991996798719488</v>
      </c>
    </row>
    <row r="58" spans="1:22" x14ac:dyDescent="0.25">
      <c r="A58" s="3">
        <v>57</v>
      </c>
      <c r="B58" s="3" t="s">
        <v>201</v>
      </c>
      <c r="C58" s="5" t="s">
        <v>202</v>
      </c>
      <c r="D58" s="3" t="s">
        <v>84</v>
      </c>
      <c r="E58" s="6">
        <v>38.949199999999998</v>
      </c>
      <c r="F58" s="6">
        <v>-88.959400000000002</v>
      </c>
      <c r="G58" s="3" t="s">
        <v>83</v>
      </c>
      <c r="H58" s="6">
        <v>38.949199999999998</v>
      </c>
      <c r="I58" s="6">
        <v>-88.959400000000002</v>
      </c>
      <c r="J58" s="3" t="s">
        <v>84</v>
      </c>
      <c r="K58" s="7">
        <v>177</v>
      </c>
      <c r="L58" s="8">
        <v>32745</v>
      </c>
      <c r="M58" s="9">
        <f t="shared" si="0"/>
        <v>1989</v>
      </c>
      <c r="N58" s="8">
        <v>43100</v>
      </c>
      <c r="O58" s="9">
        <f t="shared" si="1"/>
        <v>2017</v>
      </c>
      <c r="P58" s="9">
        <f t="shared" si="3"/>
        <v>29</v>
      </c>
      <c r="Q58" s="10">
        <v>0.98464658169177288</v>
      </c>
      <c r="R58" s="10">
        <v>0.9958478176902279</v>
      </c>
      <c r="S58" s="10">
        <v>0.9958478176902279</v>
      </c>
      <c r="T58" s="10">
        <v>0.9958478176902279</v>
      </c>
      <c r="U58" s="10">
        <v>0.9958478176902279</v>
      </c>
      <c r="V58" s="10">
        <v>0.99333719582850522</v>
      </c>
    </row>
    <row r="59" spans="1:22" x14ac:dyDescent="0.25">
      <c r="A59" s="3">
        <v>58</v>
      </c>
      <c r="B59" s="3" t="s">
        <v>203</v>
      </c>
      <c r="C59" s="14" t="s">
        <v>204</v>
      </c>
      <c r="D59" s="3" t="s">
        <v>84</v>
      </c>
      <c r="E59" s="6">
        <v>38.518300000000004</v>
      </c>
      <c r="F59" s="6">
        <v>-89.841700000000003</v>
      </c>
      <c r="G59" s="3" t="s">
        <v>83</v>
      </c>
      <c r="H59" s="6">
        <v>38.518300000000004</v>
      </c>
      <c r="I59" s="6">
        <v>-89.841700000000003</v>
      </c>
      <c r="J59" s="3" t="s">
        <v>84</v>
      </c>
      <c r="K59" s="7">
        <v>133</v>
      </c>
      <c r="L59" s="8">
        <v>32828</v>
      </c>
      <c r="M59" s="9">
        <f t="shared" si="0"/>
        <v>1989</v>
      </c>
      <c r="N59" s="8">
        <v>43100</v>
      </c>
      <c r="O59" s="9">
        <f t="shared" si="1"/>
        <v>2017</v>
      </c>
      <c r="P59" s="9">
        <f t="shared" si="3"/>
        <v>29</v>
      </c>
      <c r="Q59" s="10">
        <v>0.99756643628930208</v>
      </c>
      <c r="R59" s="10">
        <v>0.99853986177358123</v>
      </c>
      <c r="S59" s="10">
        <v>0.99844251922515337</v>
      </c>
      <c r="T59" s="10">
        <v>0.9930886790616178</v>
      </c>
      <c r="U59" s="10">
        <v>0.9930886790616178</v>
      </c>
      <c r="V59" s="10">
        <v>0.99094714299620368</v>
      </c>
    </row>
    <row r="60" spans="1:22" x14ac:dyDescent="0.25">
      <c r="A60" s="3">
        <v>59</v>
      </c>
      <c r="B60" s="1" t="s">
        <v>205</v>
      </c>
      <c r="C60" s="15" t="s">
        <v>206</v>
      </c>
      <c r="D60" s="3" t="s">
        <v>84</v>
      </c>
      <c r="E60" s="6">
        <v>38.135599999999997</v>
      </c>
      <c r="F60" s="6">
        <v>-88.923299999999998</v>
      </c>
      <c r="G60" s="3" t="s">
        <v>83</v>
      </c>
      <c r="H60" s="6">
        <v>38.135599999999997</v>
      </c>
      <c r="I60" s="6">
        <v>-88.923299999999998</v>
      </c>
      <c r="J60" s="3" t="s">
        <v>84</v>
      </c>
      <c r="K60" s="7">
        <v>130</v>
      </c>
      <c r="L60" s="8">
        <v>32981</v>
      </c>
      <c r="M60" s="9">
        <f t="shared" si="0"/>
        <v>1990</v>
      </c>
      <c r="N60" s="8">
        <v>43100</v>
      </c>
      <c r="O60" s="9">
        <f t="shared" si="1"/>
        <v>2017</v>
      </c>
      <c r="P60" s="9">
        <f t="shared" si="3"/>
        <v>28</v>
      </c>
      <c r="Q60" s="10">
        <v>0.99584980237154153</v>
      </c>
      <c r="R60" s="10">
        <v>0.99832015810276675</v>
      </c>
      <c r="S60" s="10">
        <v>0.99832015810276675</v>
      </c>
      <c r="T60" s="10">
        <v>0.9982213438735178</v>
      </c>
      <c r="U60" s="10">
        <v>0.99980237154150198</v>
      </c>
      <c r="V60" s="10">
        <v>0.99802371541501977</v>
      </c>
    </row>
    <row r="61" spans="1:22" x14ac:dyDescent="0.25">
      <c r="A61" s="3">
        <v>60</v>
      </c>
      <c r="B61" s="3" t="s">
        <v>207</v>
      </c>
      <c r="C61" s="5" t="s">
        <v>208</v>
      </c>
      <c r="D61" s="3" t="s">
        <v>84</v>
      </c>
      <c r="E61" s="6">
        <v>39.719700000000003</v>
      </c>
      <c r="F61" s="6">
        <v>-89.608900000000006</v>
      </c>
      <c r="G61" s="3" t="s">
        <v>83</v>
      </c>
      <c r="H61" s="6">
        <v>39.719700000000003</v>
      </c>
      <c r="I61" s="6">
        <v>-89.608900000000006</v>
      </c>
      <c r="J61" s="3" t="s">
        <v>84</v>
      </c>
      <c r="K61" s="7">
        <v>177</v>
      </c>
      <c r="L61" s="8">
        <v>32509</v>
      </c>
      <c r="M61" s="9">
        <f t="shared" si="0"/>
        <v>1989</v>
      </c>
      <c r="N61" s="8">
        <v>43100</v>
      </c>
      <c r="O61" s="9">
        <f t="shared" si="1"/>
        <v>2017</v>
      </c>
      <c r="P61" s="9">
        <f t="shared" si="3"/>
        <v>29</v>
      </c>
      <c r="Q61" s="10">
        <v>0.90615558912386707</v>
      </c>
      <c r="R61" s="10">
        <v>0.99990558912386707</v>
      </c>
      <c r="S61" s="10">
        <v>0.99990558912386707</v>
      </c>
      <c r="T61" s="10">
        <v>1</v>
      </c>
      <c r="U61" s="10">
        <v>1</v>
      </c>
      <c r="V61" s="10">
        <v>0.99745090634441091</v>
      </c>
    </row>
    <row r="62" spans="1:22" x14ac:dyDescent="0.25">
      <c r="A62" s="3">
        <v>61</v>
      </c>
      <c r="B62" s="3" t="s">
        <v>209</v>
      </c>
      <c r="C62" s="5" t="s">
        <v>210</v>
      </c>
      <c r="D62" s="3" t="s">
        <v>84</v>
      </c>
      <c r="E62" s="6">
        <v>37.6997</v>
      </c>
      <c r="F62" s="6">
        <v>-89.243300000000005</v>
      </c>
      <c r="G62" s="3" t="s">
        <v>83</v>
      </c>
      <c r="H62" s="6">
        <v>37.6997</v>
      </c>
      <c r="I62" s="6">
        <v>-89.243300000000005</v>
      </c>
      <c r="J62" s="3" t="s">
        <v>84</v>
      </c>
      <c r="K62" s="7">
        <v>137</v>
      </c>
      <c r="L62" s="8">
        <v>32856</v>
      </c>
      <c r="M62" s="9">
        <f t="shared" si="0"/>
        <v>1989</v>
      </c>
      <c r="N62" s="8">
        <v>43100</v>
      </c>
      <c r="O62" s="9">
        <f t="shared" si="1"/>
        <v>2017</v>
      </c>
      <c r="P62" s="9">
        <f t="shared" si="3"/>
        <v>29</v>
      </c>
      <c r="Q62" s="10">
        <v>0.98887262079062954</v>
      </c>
      <c r="R62" s="10">
        <v>0.99775500244021476</v>
      </c>
      <c r="S62" s="10">
        <v>0.99765739385065888</v>
      </c>
      <c r="T62" s="10">
        <v>0.99795021961932651</v>
      </c>
      <c r="U62" s="10">
        <v>0.99814543679843826</v>
      </c>
      <c r="V62" s="10">
        <v>0.99209370424597365</v>
      </c>
    </row>
    <row r="64" spans="1:22" x14ac:dyDescent="0.25">
      <c r="L64" s="1"/>
      <c r="M64" s="12"/>
      <c r="N64" s="89" t="s">
        <v>194</v>
      </c>
      <c r="O64" s="89"/>
      <c r="P64" s="89"/>
      <c r="Q64" s="1">
        <f t="shared" ref="Q64:V64" si="4">COUNTIF(Q6:Q62,"&gt;0.7")</f>
        <v>52</v>
      </c>
      <c r="R64" s="1">
        <f t="shared" si="4"/>
        <v>34</v>
      </c>
      <c r="S64" s="1">
        <f t="shared" si="4"/>
        <v>34</v>
      </c>
      <c r="T64" s="1">
        <f t="shared" si="4"/>
        <v>7</v>
      </c>
      <c r="U64" s="1">
        <f t="shared" si="4"/>
        <v>7</v>
      </c>
      <c r="V64" s="1">
        <f t="shared" si="4"/>
        <v>7</v>
      </c>
    </row>
    <row r="65" spans="4:22" x14ac:dyDescent="0.25">
      <c r="L65" s="1"/>
      <c r="M65" s="12"/>
      <c r="N65" s="89" t="s">
        <v>192</v>
      </c>
      <c r="O65" s="89"/>
      <c r="P65" s="89"/>
      <c r="Q65" s="12">
        <f t="shared" ref="Q65:V65" si="5">AVERAGEIF(Q6:Q62,"&gt;0.7",$M6:$M62)</f>
        <v>1972.4615384615386</v>
      </c>
      <c r="R65" s="12">
        <f t="shared" si="5"/>
        <v>1972.2058823529412</v>
      </c>
      <c r="S65" s="12">
        <f t="shared" si="5"/>
        <v>1972.2058823529412</v>
      </c>
      <c r="T65" s="12">
        <f t="shared" si="5"/>
        <v>1989.2857142857142</v>
      </c>
      <c r="U65" s="12">
        <f t="shared" si="5"/>
        <v>1989.2857142857142</v>
      </c>
      <c r="V65" s="12">
        <f t="shared" si="5"/>
        <v>1989.2857142857142</v>
      </c>
    </row>
    <row r="66" spans="4:22" x14ac:dyDescent="0.25">
      <c r="D66" s="11"/>
      <c r="L66" s="1"/>
      <c r="M66" s="1"/>
      <c r="N66" s="89" t="s">
        <v>193</v>
      </c>
      <c r="O66" s="89"/>
      <c r="P66" s="89"/>
      <c r="Q66" s="12">
        <f t="shared" ref="Q66:V66" si="6">AVERAGEIF(Q6:Q62,"&gt;0.7",$O6:$O62)</f>
        <v>2016.6153846153845</v>
      </c>
      <c r="R66" s="12">
        <f t="shared" si="6"/>
        <v>2016.8235294117646</v>
      </c>
      <c r="S66" s="12">
        <f t="shared" si="6"/>
        <v>2016.8235294117646</v>
      </c>
      <c r="T66" s="12">
        <f t="shared" si="6"/>
        <v>2017</v>
      </c>
      <c r="U66" s="12">
        <f t="shared" si="6"/>
        <v>2017</v>
      </c>
      <c r="V66" s="12">
        <f t="shared" si="6"/>
        <v>2017</v>
      </c>
    </row>
    <row r="67" spans="4:22" x14ac:dyDescent="0.25">
      <c r="D67" s="11"/>
    </row>
  </sheetData>
  <mergeCells count="3">
    <mergeCell ref="N66:P66"/>
    <mergeCell ref="N64:P64"/>
    <mergeCell ref="N65:P65"/>
  </mergeCells>
  <conditionalFormatting sqref="D2:D62">
    <cfRule type="cellIs" dxfId="12" priority="14" operator="equal">
      <formula>"NAD83"</formula>
    </cfRule>
  </conditionalFormatting>
  <conditionalFormatting sqref="G2:G62">
    <cfRule type="cellIs" dxfId="11" priority="13" operator="equal">
      <formula>"NAD83"</formula>
    </cfRule>
  </conditionalFormatting>
  <conditionalFormatting sqref="Q2:V62">
    <cfRule type="cellIs" dxfId="10" priority="1" operator="lessThan">
      <formula>0.4999</formula>
    </cfRule>
    <cfRule type="cellIs" dxfId="9" priority="2" operator="between">
      <formula>0.5</formula>
      <formula>0.6999</formula>
    </cfRule>
    <cfRule type="cellIs" dxfId="8" priority="3" operator="between">
      <formula>0.7</formula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9"/>
  <sheetViews>
    <sheetView tabSelected="1" workbookViewId="0">
      <selection activeCell="Y20" sqref="Y20"/>
    </sheetView>
  </sheetViews>
  <sheetFormatPr defaultRowHeight="15" x14ac:dyDescent="0.25"/>
  <cols>
    <col min="1" max="1" width="5.140625" style="1" bestFit="1" customWidth="1"/>
    <col min="2" max="2" width="7.5703125" style="1" bestFit="1" customWidth="1"/>
    <col min="3" max="3" width="8" style="1" bestFit="1" customWidth="1"/>
    <col min="4" max="4" width="43" bestFit="1" customWidth="1"/>
    <col min="5" max="5" width="7.85546875" style="1" bestFit="1" customWidth="1"/>
    <col min="6" max="6" width="8" style="1" bestFit="1" customWidth="1"/>
    <col min="7" max="7" width="7.42578125" style="1" bestFit="1" customWidth="1"/>
    <col min="8" max="8" width="8.42578125" style="1" bestFit="1" customWidth="1"/>
    <col min="9" max="9" width="8.5703125" style="1" bestFit="1" customWidth="1"/>
    <col min="10" max="10" width="8" style="1" bestFit="1" customWidth="1"/>
    <col min="11" max="11" width="15.5703125" style="1" bestFit="1" customWidth="1"/>
    <col min="12" max="13" width="9.5703125" style="1" bestFit="1" customWidth="1"/>
    <col min="14" max="14" width="15.5703125" style="1" bestFit="1" customWidth="1"/>
    <col min="15" max="15" width="10.85546875" style="1" bestFit="1" customWidth="1"/>
    <col min="16" max="16" width="11.42578125" style="1" bestFit="1" customWidth="1"/>
    <col min="17" max="17" width="15.7109375" style="1" bestFit="1" customWidth="1"/>
    <col min="18" max="18" width="11.7109375" style="1" bestFit="1" customWidth="1"/>
    <col min="19" max="19" width="12" style="1" bestFit="1" customWidth="1"/>
    <col min="20" max="20" width="10.7109375" bestFit="1" customWidth="1"/>
    <col min="21" max="21" width="10.140625" bestFit="1" customWidth="1"/>
    <col min="22" max="22" width="10.7109375" style="1" bestFit="1" customWidth="1"/>
    <col min="23" max="23" width="9.28515625" style="1" bestFit="1" customWidth="1"/>
    <col min="24" max="24" width="5.85546875" style="1" bestFit="1" customWidth="1"/>
    <col min="25" max="25" width="9.7109375" style="1" bestFit="1" customWidth="1"/>
    <col min="26" max="26" width="9.140625" style="1"/>
  </cols>
  <sheetData>
    <row r="1" spans="1:25" ht="15.75" thickBot="1" x14ac:dyDescent="0.3">
      <c r="A1" s="16" t="s">
        <v>4</v>
      </c>
      <c r="B1" s="17" t="s">
        <v>222</v>
      </c>
      <c r="C1" s="18" t="s">
        <v>63</v>
      </c>
      <c r="D1" s="18" t="s">
        <v>64</v>
      </c>
      <c r="E1" s="18" t="s">
        <v>223</v>
      </c>
      <c r="F1" s="18" t="s">
        <v>224</v>
      </c>
      <c r="G1" s="18" t="s">
        <v>225</v>
      </c>
      <c r="H1" s="18" t="s">
        <v>226</v>
      </c>
      <c r="I1" s="18" t="s">
        <v>227</v>
      </c>
      <c r="J1" s="18" t="s">
        <v>228</v>
      </c>
      <c r="K1" s="18" t="s">
        <v>65</v>
      </c>
      <c r="L1" s="18" t="s">
        <v>66</v>
      </c>
      <c r="M1" s="18" t="s">
        <v>67</v>
      </c>
      <c r="N1" s="18" t="s">
        <v>65</v>
      </c>
      <c r="O1" s="18" t="s">
        <v>229</v>
      </c>
      <c r="P1" s="18" t="s">
        <v>230</v>
      </c>
      <c r="Q1" s="18" t="s">
        <v>70</v>
      </c>
      <c r="R1" s="18" t="s">
        <v>231</v>
      </c>
      <c r="S1" s="18" t="s">
        <v>71</v>
      </c>
      <c r="T1" s="18" t="s">
        <v>72</v>
      </c>
      <c r="U1" s="18" t="s">
        <v>73</v>
      </c>
      <c r="V1" s="18" t="s">
        <v>74</v>
      </c>
      <c r="W1" s="18" t="s">
        <v>75</v>
      </c>
      <c r="X1" s="19" t="s">
        <v>76</v>
      </c>
      <c r="Y1" s="20" t="s">
        <v>232</v>
      </c>
    </row>
    <row r="2" spans="1:25" ht="15" customHeight="1" x14ac:dyDescent="0.25">
      <c r="A2" s="21">
        <v>1</v>
      </c>
      <c r="B2" s="90" t="s">
        <v>233</v>
      </c>
      <c r="C2" s="22">
        <v>5594100</v>
      </c>
      <c r="D2" s="23" t="s">
        <v>234</v>
      </c>
      <c r="E2" s="24">
        <v>38</v>
      </c>
      <c r="F2" s="24">
        <v>27</v>
      </c>
      <c r="G2" s="24">
        <v>2</v>
      </c>
      <c r="H2" s="24">
        <v>89</v>
      </c>
      <c r="I2" s="24">
        <v>37</v>
      </c>
      <c r="J2" s="24">
        <v>39</v>
      </c>
      <c r="K2" s="24" t="s">
        <v>97</v>
      </c>
      <c r="L2" s="25">
        <f t="shared" ref="L2:L25" si="0">E2+F2/60+G2/3600</f>
        <v>38.45055555555556</v>
      </c>
      <c r="M2" s="25">
        <f t="shared" ref="M2:M25" si="1">H2+I2/60+J2/3600</f>
        <v>89.627499999999998</v>
      </c>
      <c r="N2" s="26" t="s">
        <v>83</v>
      </c>
      <c r="O2" s="27">
        <v>270704.7</v>
      </c>
      <c r="P2" s="27">
        <v>4259083.3</v>
      </c>
      <c r="Q2" s="24" t="s">
        <v>235</v>
      </c>
      <c r="R2" s="28">
        <v>380.1</v>
      </c>
      <c r="S2" s="28">
        <f t="shared" ref="S2:S8" si="2">R2*0.3048</f>
        <v>115.85448000000001</v>
      </c>
      <c r="T2" s="29">
        <v>25477</v>
      </c>
      <c r="U2" s="30">
        <f>YEAR(T2)</f>
        <v>1969</v>
      </c>
      <c r="V2" s="29">
        <v>43100</v>
      </c>
      <c r="W2" s="30">
        <f>YEAR(V2)</f>
        <v>2017</v>
      </c>
      <c r="X2" s="31">
        <f>YEAR(V2)-YEAR(T2)+1</f>
        <v>49</v>
      </c>
      <c r="Y2" s="32">
        <v>1</v>
      </c>
    </row>
    <row r="3" spans="1:25" x14ac:dyDescent="0.25">
      <c r="A3" s="33">
        <v>2</v>
      </c>
      <c r="B3" s="91"/>
      <c r="C3" s="34">
        <v>5594450</v>
      </c>
      <c r="D3" s="5" t="s">
        <v>236</v>
      </c>
      <c r="E3" s="3">
        <v>38</v>
      </c>
      <c r="F3" s="3">
        <v>43</v>
      </c>
      <c r="G3" s="3">
        <v>0</v>
      </c>
      <c r="H3" s="3">
        <v>89</v>
      </c>
      <c r="I3" s="3">
        <v>49</v>
      </c>
      <c r="J3" s="3">
        <v>45</v>
      </c>
      <c r="K3" s="3" t="s">
        <v>97</v>
      </c>
      <c r="L3" s="6">
        <f t="shared" si="0"/>
        <v>38.716666666666669</v>
      </c>
      <c r="M3" s="6">
        <f t="shared" si="1"/>
        <v>89.829166666666666</v>
      </c>
      <c r="N3" s="35" t="s">
        <v>83</v>
      </c>
      <c r="O3" s="36">
        <v>254013.3</v>
      </c>
      <c r="P3" s="36">
        <v>4289141.3</v>
      </c>
      <c r="Q3" s="3" t="s">
        <v>235</v>
      </c>
      <c r="R3" s="7">
        <v>430</v>
      </c>
      <c r="S3" s="7">
        <f t="shared" si="2"/>
        <v>131.06399999999999</v>
      </c>
      <c r="T3" s="8">
        <v>24381</v>
      </c>
      <c r="U3" s="9">
        <f t="shared" ref="U3:U25" si="3">YEAR(T3)</f>
        <v>1966</v>
      </c>
      <c r="V3" s="8">
        <v>43100</v>
      </c>
      <c r="W3" s="9">
        <f t="shared" ref="W3:W25" si="4">YEAR(V3)</f>
        <v>2017</v>
      </c>
      <c r="X3" s="37">
        <f t="shared" ref="X3:X25" si="5">YEAR(V3)-YEAR(T3)+1</f>
        <v>52</v>
      </c>
      <c r="Y3" s="38">
        <v>0.99973290598290598</v>
      </c>
    </row>
    <row r="4" spans="1:25" x14ac:dyDescent="0.25">
      <c r="A4" s="33">
        <v>3</v>
      </c>
      <c r="B4" s="91"/>
      <c r="C4" s="34">
        <v>5594800</v>
      </c>
      <c r="D4" s="5" t="s">
        <v>237</v>
      </c>
      <c r="E4" s="3">
        <v>38</v>
      </c>
      <c r="F4" s="3">
        <v>24</v>
      </c>
      <c r="G4" s="3">
        <v>22</v>
      </c>
      <c r="H4" s="3">
        <v>89</v>
      </c>
      <c r="I4" s="3">
        <v>52</v>
      </c>
      <c r="J4" s="3">
        <v>26</v>
      </c>
      <c r="K4" s="3" t="s">
        <v>97</v>
      </c>
      <c r="L4" s="6">
        <f t="shared" si="0"/>
        <v>38.406111111111109</v>
      </c>
      <c r="M4" s="6">
        <f t="shared" si="1"/>
        <v>89.873888888888885</v>
      </c>
      <c r="N4" s="35" t="s">
        <v>83</v>
      </c>
      <c r="O4" s="36">
        <v>249045.1</v>
      </c>
      <c r="P4" s="36">
        <v>4254792.8</v>
      </c>
      <c r="Q4" s="3" t="s">
        <v>235</v>
      </c>
      <c r="R4" s="7">
        <v>381.4</v>
      </c>
      <c r="S4" s="7">
        <f t="shared" si="2"/>
        <v>116.25072</v>
      </c>
      <c r="T4" s="8">
        <v>25842</v>
      </c>
      <c r="U4" s="9">
        <f t="shared" si="3"/>
        <v>1970</v>
      </c>
      <c r="V4" s="8">
        <v>43100</v>
      </c>
      <c r="W4" s="9">
        <f t="shared" si="4"/>
        <v>2017</v>
      </c>
      <c r="X4" s="37">
        <f t="shared" si="5"/>
        <v>48</v>
      </c>
      <c r="Y4" s="38">
        <v>0.99988411843096359</v>
      </c>
    </row>
    <row r="5" spans="1:25" x14ac:dyDescent="0.25">
      <c r="A5" s="33">
        <v>4</v>
      </c>
      <c r="B5" s="91"/>
      <c r="C5" s="34">
        <v>5595000</v>
      </c>
      <c r="D5" s="5" t="s">
        <v>238</v>
      </c>
      <c r="E5" s="3">
        <v>38</v>
      </c>
      <c r="F5" s="3">
        <v>19</v>
      </c>
      <c r="G5" s="3">
        <v>11</v>
      </c>
      <c r="H5" s="3">
        <v>89</v>
      </c>
      <c r="I5" s="3">
        <v>53</v>
      </c>
      <c r="J5" s="3">
        <v>19</v>
      </c>
      <c r="K5" s="35" t="s">
        <v>83</v>
      </c>
      <c r="L5" s="6">
        <f t="shared" si="0"/>
        <v>38.319722222222225</v>
      </c>
      <c r="M5" s="6">
        <f t="shared" si="1"/>
        <v>89.888611111111118</v>
      </c>
      <c r="N5" s="35" t="s">
        <v>83</v>
      </c>
      <c r="O5" s="36">
        <v>247467.7</v>
      </c>
      <c r="P5" s="36">
        <v>4245238.8</v>
      </c>
      <c r="Q5" s="3" t="s">
        <v>235</v>
      </c>
      <c r="R5" s="7">
        <v>300</v>
      </c>
      <c r="S5" s="7">
        <f t="shared" si="2"/>
        <v>91.44</v>
      </c>
      <c r="T5" s="8">
        <v>3563</v>
      </c>
      <c r="U5" s="9">
        <f t="shared" si="3"/>
        <v>1909</v>
      </c>
      <c r="V5" s="8">
        <v>43100</v>
      </c>
      <c r="W5" s="9">
        <f t="shared" si="4"/>
        <v>2017</v>
      </c>
      <c r="X5" s="37">
        <f t="shared" si="5"/>
        <v>109</v>
      </c>
      <c r="Y5" s="38">
        <v>0.51626283575294651</v>
      </c>
    </row>
    <row r="6" spans="1:25" x14ac:dyDescent="0.25">
      <c r="A6" s="33">
        <v>5</v>
      </c>
      <c r="B6" s="91"/>
      <c r="C6" s="34">
        <v>5595200</v>
      </c>
      <c r="D6" s="5" t="s">
        <v>239</v>
      </c>
      <c r="E6" s="3">
        <v>38</v>
      </c>
      <c r="F6" s="3">
        <v>19</v>
      </c>
      <c r="G6" s="3">
        <v>26</v>
      </c>
      <c r="H6" s="3">
        <v>89</v>
      </c>
      <c r="I6" s="3">
        <v>58</v>
      </c>
      <c r="J6" s="3">
        <v>14</v>
      </c>
      <c r="K6" s="35" t="s">
        <v>83</v>
      </c>
      <c r="L6" s="6">
        <f t="shared" si="0"/>
        <v>38.323888888888895</v>
      </c>
      <c r="M6" s="6">
        <f t="shared" si="1"/>
        <v>89.970555555555563</v>
      </c>
      <c r="N6" s="35" t="s">
        <v>83</v>
      </c>
      <c r="O6" s="36">
        <v>240317.3</v>
      </c>
      <c r="P6" s="36">
        <v>4245928.7</v>
      </c>
      <c r="Q6" s="3" t="s">
        <v>235</v>
      </c>
      <c r="R6" s="7">
        <v>375</v>
      </c>
      <c r="S6" s="7">
        <f t="shared" si="2"/>
        <v>114.30000000000001</v>
      </c>
      <c r="T6" s="8">
        <v>25477</v>
      </c>
      <c r="U6" s="9">
        <f t="shared" si="3"/>
        <v>1969</v>
      </c>
      <c r="V6" s="8">
        <v>43100</v>
      </c>
      <c r="W6" s="9">
        <f t="shared" si="4"/>
        <v>2017</v>
      </c>
      <c r="X6" s="37">
        <f t="shared" si="5"/>
        <v>49</v>
      </c>
      <c r="Y6" s="38">
        <v>0.99818429414434862</v>
      </c>
    </row>
    <row r="7" spans="1:25" ht="15.75" thickBot="1" x14ac:dyDescent="0.3">
      <c r="A7" s="39">
        <v>6</v>
      </c>
      <c r="B7" s="92"/>
      <c r="C7" s="40">
        <v>5595240</v>
      </c>
      <c r="D7" s="41" t="s">
        <v>240</v>
      </c>
      <c r="E7" s="42">
        <v>38</v>
      </c>
      <c r="F7" s="42">
        <v>11</v>
      </c>
      <c r="G7" s="42">
        <v>39</v>
      </c>
      <c r="H7" s="42">
        <v>89</v>
      </c>
      <c r="I7" s="42">
        <v>53</v>
      </c>
      <c r="J7" s="42">
        <v>17</v>
      </c>
      <c r="K7" s="42" t="s">
        <v>97</v>
      </c>
      <c r="L7" s="43">
        <f t="shared" si="0"/>
        <v>38.194166666666661</v>
      </c>
      <c r="M7" s="43">
        <f t="shared" si="1"/>
        <v>89.888055555555567</v>
      </c>
      <c r="N7" s="44" t="s">
        <v>83</v>
      </c>
      <c r="O7" s="45">
        <v>247072.1</v>
      </c>
      <c r="P7" s="45">
        <v>4231307.7</v>
      </c>
      <c r="Q7" s="42" t="s">
        <v>235</v>
      </c>
      <c r="R7" s="46">
        <v>300</v>
      </c>
      <c r="S7" s="46">
        <f t="shared" si="2"/>
        <v>91.44</v>
      </c>
      <c r="T7" s="47">
        <v>34608</v>
      </c>
      <c r="U7" s="48">
        <f t="shared" si="3"/>
        <v>1994</v>
      </c>
      <c r="V7" s="47">
        <v>43100</v>
      </c>
      <c r="W7" s="48">
        <f t="shared" si="4"/>
        <v>2017</v>
      </c>
      <c r="X7" s="49">
        <f t="shared" si="5"/>
        <v>24</v>
      </c>
      <c r="Y7" s="50">
        <v>0.98693041328152598</v>
      </c>
    </row>
    <row r="8" spans="1:25" ht="15" customHeight="1" x14ac:dyDescent="0.25">
      <c r="A8" s="21">
        <v>7</v>
      </c>
      <c r="B8" s="90" t="s">
        <v>241</v>
      </c>
      <c r="C8" s="22">
        <v>5593000</v>
      </c>
      <c r="D8" s="23" t="s">
        <v>242</v>
      </c>
      <c r="E8" s="24">
        <v>38</v>
      </c>
      <c r="F8" s="24">
        <v>36</v>
      </c>
      <c r="G8" s="24">
        <v>42</v>
      </c>
      <c r="H8" s="24">
        <v>89</v>
      </c>
      <c r="I8" s="24">
        <v>21</v>
      </c>
      <c r="J8" s="24">
        <v>22</v>
      </c>
      <c r="K8" s="24" t="s">
        <v>97</v>
      </c>
      <c r="L8" s="25">
        <f t="shared" si="0"/>
        <v>38.611666666666665</v>
      </c>
      <c r="M8" s="25">
        <f t="shared" si="1"/>
        <v>89.356111111111105</v>
      </c>
      <c r="N8" s="26" t="s">
        <v>83</v>
      </c>
      <c r="O8" s="27">
        <v>294850.09999999998</v>
      </c>
      <c r="P8" s="27">
        <v>4276322.8</v>
      </c>
      <c r="Q8" s="24" t="s">
        <v>235</v>
      </c>
      <c r="R8" s="28">
        <v>402.92</v>
      </c>
      <c r="S8" s="28">
        <f t="shared" si="2"/>
        <v>122.810016</v>
      </c>
      <c r="T8" s="11">
        <v>21916</v>
      </c>
      <c r="U8" s="12">
        <f t="shared" si="3"/>
        <v>1960</v>
      </c>
      <c r="V8" s="29">
        <v>43100</v>
      </c>
      <c r="W8" s="30">
        <f t="shared" si="4"/>
        <v>2017</v>
      </c>
      <c r="X8" s="31">
        <f t="shared" si="5"/>
        <v>58</v>
      </c>
      <c r="Y8" s="32">
        <v>1</v>
      </c>
    </row>
    <row r="9" spans="1:25" x14ac:dyDescent="0.25">
      <c r="A9" s="33">
        <v>8</v>
      </c>
      <c r="B9" s="91"/>
      <c r="C9" s="34">
        <v>5593020</v>
      </c>
      <c r="D9" s="5" t="s">
        <v>243</v>
      </c>
      <c r="E9" s="3">
        <v>38</v>
      </c>
      <c r="F9" s="3">
        <v>32</v>
      </c>
      <c r="G9" s="3">
        <v>11</v>
      </c>
      <c r="H9" s="3">
        <v>89</v>
      </c>
      <c r="I9" s="3">
        <v>22</v>
      </c>
      <c r="J9" s="3">
        <v>54</v>
      </c>
      <c r="K9" s="3" t="s">
        <v>97</v>
      </c>
      <c r="L9" s="6">
        <f t="shared" si="0"/>
        <v>38.536388888888887</v>
      </c>
      <c r="M9" s="6">
        <f t="shared" si="1"/>
        <v>89.381666666666661</v>
      </c>
      <c r="N9" s="35" t="s">
        <v>83</v>
      </c>
      <c r="O9" s="36">
        <v>292407.8</v>
      </c>
      <c r="P9" s="36">
        <v>4268025.7</v>
      </c>
      <c r="Q9" s="3" t="s">
        <v>244</v>
      </c>
      <c r="R9" s="7" t="s">
        <v>244</v>
      </c>
      <c r="S9" s="7" t="s">
        <v>244</v>
      </c>
      <c r="T9" s="8" t="s">
        <v>244</v>
      </c>
      <c r="U9" s="9" t="s">
        <v>244</v>
      </c>
      <c r="V9" s="8" t="s">
        <v>244</v>
      </c>
      <c r="W9" s="9" t="s">
        <v>244</v>
      </c>
      <c r="X9" s="37" t="s">
        <v>244</v>
      </c>
      <c r="Y9" s="38" t="s">
        <v>244</v>
      </c>
    </row>
    <row r="10" spans="1:25" x14ac:dyDescent="0.25">
      <c r="A10" s="33">
        <v>9</v>
      </c>
      <c r="B10" s="91"/>
      <c r="C10" s="34">
        <v>5592500</v>
      </c>
      <c r="D10" s="5" t="s">
        <v>245</v>
      </c>
      <c r="E10" s="3">
        <v>38</v>
      </c>
      <c r="F10" s="3">
        <v>57</v>
      </c>
      <c r="G10" s="3">
        <v>38</v>
      </c>
      <c r="H10" s="3">
        <v>89</v>
      </c>
      <c r="I10" s="3">
        <v>5</v>
      </c>
      <c r="J10" s="3">
        <v>20</v>
      </c>
      <c r="K10" s="3" t="s">
        <v>97</v>
      </c>
      <c r="L10" s="6">
        <f t="shared" si="0"/>
        <v>38.960555555555558</v>
      </c>
      <c r="M10" s="6">
        <f t="shared" si="1"/>
        <v>89.088888888888889</v>
      </c>
      <c r="N10" s="35" t="s">
        <v>83</v>
      </c>
      <c r="O10" s="36">
        <v>319004.90000000002</v>
      </c>
      <c r="P10" s="36">
        <v>4314479.5999999996</v>
      </c>
      <c r="Q10" s="3" t="s">
        <v>235</v>
      </c>
      <c r="R10" s="7">
        <v>453.3</v>
      </c>
      <c r="S10" s="7">
        <f t="shared" ref="S10:S15" si="6">R10*0.3048</f>
        <v>138.16584</v>
      </c>
      <c r="T10" s="8">
        <v>21916</v>
      </c>
      <c r="U10" s="9">
        <f t="shared" si="3"/>
        <v>1960</v>
      </c>
      <c r="V10" s="8">
        <v>43100</v>
      </c>
      <c r="W10" s="9">
        <f t="shared" si="4"/>
        <v>2017</v>
      </c>
      <c r="X10" s="37">
        <f t="shared" si="5"/>
        <v>58</v>
      </c>
      <c r="Y10" s="38">
        <v>0.99990559358036346</v>
      </c>
    </row>
    <row r="11" spans="1:25" x14ac:dyDescent="0.25">
      <c r="A11" s="33">
        <v>10</v>
      </c>
      <c r="B11" s="91"/>
      <c r="C11" s="34">
        <v>5592575</v>
      </c>
      <c r="D11" s="5" t="s">
        <v>246</v>
      </c>
      <c r="E11" s="3">
        <v>38</v>
      </c>
      <c r="F11" s="3">
        <v>56</v>
      </c>
      <c r="G11" s="3">
        <v>13</v>
      </c>
      <c r="H11" s="3">
        <v>88</v>
      </c>
      <c r="I11" s="3">
        <v>57</v>
      </c>
      <c r="J11" s="3">
        <v>10</v>
      </c>
      <c r="K11" s="3" t="s">
        <v>97</v>
      </c>
      <c r="L11" s="6">
        <f t="shared" si="0"/>
        <v>38.936944444444443</v>
      </c>
      <c r="M11" s="6">
        <f t="shared" si="1"/>
        <v>88.952777777777783</v>
      </c>
      <c r="N11" s="35" t="s">
        <v>83</v>
      </c>
      <c r="O11" s="36">
        <v>330743.5</v>
      </c>
      <c r="P11" s="36">
        <v>4311597.5</v>
      </c>
      <c r="Q11" s="3" t="s">
        <v>235</v>
      </c>
      <c r="R11" s="7">
        <v>493.37</v>
      </c>
      <c r="S11" s="7">
        <f t="shared" si="6"/>
        <v>150.379176</v>
      </c>
      <c r="T11" s="8">
        <v>32417</v>
      </c>
      <c r="U11" s="9">
        <f t="shared" si="3"/>
        <v>1988</v>
      </c>
      <c r="V11" s="8">
        <v>43100</v>
      </c>
      <c r="W11" s="9">
        <f t="shared" si="4"/>
        <v>2017</v>
      </c>
      <c r="X11" s="37">
        <f t="shared" si="5"/>
        <v>30</v>
      </c>
      <c r="Y11" s="38">
        <v>0.99943841257955823</v>
      </c>
    </row>
    <row r="12" spans="1:25" x14ac:dyDescent="0.25">
      <c r="A12" s="33">
        <v>11</v>
      </c>
      <c r="B12" s="91"/>
      <c r="C12" s="34">
        <v>5592800</v>
      </c>
      <c r="D12" s="5" t="s">
        <v>247</v>
      </c>
      <c r="E12" s="3">
        <v>38</v>
      </c>
      <c r="F12" s="3">
        <v>55</v>
      </c>
      <c r="G12" s="3">
        <v>21</v>
      </c>
      <c r="H12" s="3">
        <v>89</v>
      </c>
      <c r="I12" s="3">
        <v>14</v>
      </c>
      <c r="J12" s="3">
        <v>12</v>
      </c>
      <c r="K12" s="3" t="s">
        <v>97</v>
      </c>
      <c r="L12" s="6">
        <f t="shared" si="0"/>
        <v>38.922499999999999</v>
      </c>
      <c r="M12" s="6">
        <f t="shared" si="1"/>
        <v>89.236666666666665</v>
      </c>
      <c r="N12" s="35" t="s">
        <v>83</v>
      </c>
      <c r="O12" s="36">
        <v>306095.40000000002</v>
      </c>
      <c r="P12" s="36">
        <v>4310560.0999999996</v>
      </c>
      <c r="Q12" s="3" t="s">
        <v>235</v>
      </c>
      <c r="R12" s="7">
        <v>467</v>
      </c>
      <c r="S12" s="7">
        <f t="shared" si="6"/>
        <v>142.3416</v>
      </c>
      <c r="T12" s="8">
        <v>25842</v>
      </c>
      <c r="U12" s="9">
        <f t="shared" si="3"/>
        <v>1970</v>
      </c>
      <c r="V12" s="8">
        <v>43100</v>
      </c>
      <c r="W12" s="9">
        <f t="shared" si="4"/>
        <v>2017</v>
      </c>
      <c r="X12" s="37">
        <f t="shared" si="5"/>
        <v>48</v>
      </c>
      <c r="Y12" s="38">
        <v>0.99988411843096359</v>
      </c>
    </row>
    <row r="13" spans="1:25" x14ac:dyDescent="0.25">
      <c r="A13" s="33">
        <v>12</v>
      </c>
      <c r="B13" s="91"/>
      <c r="C13" s="34">
        <v>5592900</v>
      </c>
      <c r="D13" s="5" t="s">
        <v>248</v>
      </c>
      <c r="E13" s="3">
        <v>38</v>
      </c>
      <c r="F13" s="3">
        <v>41</v>
      </c>
      <c r="G13" s="3">
        <v>20</v>
      </c>
      <c r="H13" s="3">
        <v>89</v>
      </c>
      <c r="I13" s="3">
        <v>6</v>
      </c>
      <c r="J13" s="3">
        <v>0</v>
      </c>
      <c r="K13" s="3" t="s">
        <v>97</v>
      </c>
      <c r="L13" s="6">
        <f t="shared" si="0"/>
        <v>38.688888888888883</v>
      </c>
      <c r="M13" s="6">
        <f t="shared" si="1"/>
        <v>89.1</v>
      </c>
      <c r="N13" s="35" t="s">
        <v>83</v>
      </c>
      <c r="O13" s="36">
        <v>317349.09999999998</v>
      </c>
      <c r="P13" s="36">
        <v>4284351.5</v>
      </c>
      <c r="Q13" s="3" t="s">
        <v>235</v>
      </c>
      <c r="R13" s="7">
        <v>460.2</v>
      </c>
      <c r="S13" s="7">
        <f t="shared" si="6"/>
        <v>140.26895999999999</v>
      </c>
      <c r="T13" s="8">
        <v>29129</v>
      </c>
      <c r="U13" s="9">
        <f t="shared" si="3"/>
        <v>1979</v>
      </c>
      <c r="V13" s="8">
        <v>43100</v>
      </c>
      <c r="W13" s="9">
        <f t="shared" si="4"/>
        <v>2017</v>
      </c>
      <c r="X13" s="37">
        <f t="shared" si="5"/>
        <v>39</v>
      </c>
      <c r="Y13" s="38">
        <v>0.99928428285141713</v>
      </c>
    </row>
    <row r="14" spans="1:25" x14ac:dyDescent="0.25">
      <c r="A14" s="33">
        <v>13</v>
      </c>
      <c r="B14" s="91"/>
      <c r="C14" s="34">
        <v>5593520</v>
      </c>
      <c r="D14" s="5" t="s">
        <v>249</v>
      </c>
      <c r="E14" s="3">
        <v>38</v>
      </c>
      <c r="F14" s="3">
        <v>30</v>
      </c>
      <c r="G14" s="3">
        <v>25</v>
      </c>
      <c r="H14" s="3">
        <v>89</v>
      </c>
      <c r="I14" s="3">
        <v>16</v>
      </c>
      <c r="J14" s="3">
        <v>24</v>
      </c>
      <c r="K14" s="3" t="s">
        <v>97</v>
      </c>
      <c r="L14" s="6">
        <f t="shared" si="0"/>
        <v>38.506944444444443</v>
      </c>
      <c r="M14" s="6">
        <f t="shared" si="1"/>
        <v>89.273333333333326</v>
      </c>
      <c r="N14" s="35" t="s">
        <v>83</v>
      </c>
      <c r="O14" s="36">
        <v>301770.8</v>
      </c>
      <c r="P14" s="36">
        <v>4264518.7</v>
      </c>
      <c r="Q14" s="3" t="s">
        <v>235</v>
      </c>
      <c r="R14" s="3">
        <v>420.19</v>
      </c>
      <c r="S14" s="7">
        <f t="shared" si="6"/>
        <v>128.07391200000001</v>
      </c>
      <c r="T14" s="8">
        <v>27303</v>
      </c>
      <c r="U14" s="9">
        <f t="shared" si="3"/>
        <v>1974</v>
      </c>
      <c r="V14" s="8">
        <v>43100</v>
      </c>
      <c r="W14" s="9">
        <f t="shared" si="4"/>
        <v>2017</v>
      </c>
      <c r="X14" s="37">
        <f t="shared" si="5"/>
        <v>44</v>
      </c>
      <c r="Y14" s="38">
        <v>0.55481706545132292</v>
      </c>
    </row>
    <row r="15" spans="1:25" ht="15.75" thickBot="1" x14ac:dyDescent="0.3">
      <c r="A15" s="39">
        <v>14</v>
      </c>
      <c r="B15" s="92"/>
      <c r="C15" s="40">
        <v>5593575</v>
      </c>
      <c r="D15" s="41" t="s">
        <v>250</v>
      </c>
      <c r="E15" s="42">
        <v>38</v>
      </c>
      <c r="F15" s="42">
        <v>26</v>
      </c>
      <c r="G15" s="42">
        <v>30</v>
      </c>
      <c r="H15" s="42">
        <v>89</v>
      </c>
      <c r="I15" s="42">
        <v>25</v>
      </c>
      <c r="J15" s="42">
        <v>0</v>
      </c>
      <c r="K15" s="42" t="s">
        <v>97</v>
      </c>
      <c r="L15" s="43">
        <f t="shared" si="0"/>
        <v>38.441666666666663</v>
      </c>
      <c r="M15" s="43">
        <f t="shared" si="1"/>
        <v>89.416666666666671</v>
      </c>
      <c r="N15" s="44" t="s">
        <v>83</v>
      </c>
      <c r="O15" s="45">
        <v>289080.40000000002</v>
      </c>
      <c r="P15" s="45">
        <v>4257592.7</v>
      </c>
      <c r="Q15" s="42" t="s">
        <v>235</v>
      </c>
      <c r="R15" s="42">
        <v>414.12</v>
      </c>
      <c r="S15" s="46">
        <f t="shared" si="6"/>
        <v>126.223776</v>
      </c>
      <c r="T15" s="47">
        <v>24746</v>
      </c>
      <c r="U15" s="48">
        <f t="shared" si="3"/>
        <v>1967</v>
      </c>
      <c r="V15" s="47">
        <v>43100</v>
      </c>
      <c r="W15" s="48">
        <f t="shared" si="4"/>
        <v>2017</v>
      </c>
      <c r="X15" s="49">
        <f t="shared" si="5"/>
        <v>51</v>
      </c>
      <c r="Y15" s="50">
        <v>0.99945518932171074</v>
      </c>
    </row>
    <row r="16" spans="1:25" ht="15.75" thickBot="1" x14ac:dyDescent="0.3">
      <c r="A16" s="21">
        <v>15</v>
      </c>
      <c r="B16" s="90" t="s">
        <v>251</v>
      </c>
      <c r="C16" s="22">
        <v>5590050</v>
      </c>
      <c r="D16" s="23" t="s">
        <v>252</v>
      </c>
      <c r="E16" s="24">
        <v>40</v>
      </c>
      <c r="F16" s="24">
        <v>5</v>
      </c>
      <c r="G16" s="24">
        <v>50</v>
      </c>
      <c r="H16" s="24">
        <v>88</v>
      </c>
      <c r="I16" s="24">
        <v>18</v>
      </c>
      <c r="J16" s="24">
        <v>24</v>
      </c>
      <c r="K16" s="24" t="s">
        <v>97</v>
      </c>
      <c r="L16" s="25">
        <f t="shared" si="0"/>
        <v>40.097222222222221</v>
      </c>
      <c r="M16" s="25">
        <f t="shared" si="1"/>
        <v>88.306666666666658</v>
      </c>
      <c r="N16" s="26" t="s">
        <v>83</v>
      </c>
      <c r="O16" s="27">
        <v>388615.6</v>
      </c>
      <c r="P16" s="27">
        <v>4439369.7</v>
      </c>
      <c r="Q16" s="24" t="s">
        <v>244</v>
      </c>
      <c r="R16" s="24" t="s">
        <v>244</v>
      </c>
      <c r="S16" s="28" t="s">
        <v>244</v>
      </c>
      <c r="T16" s="29">
        <v>38504</v>
      </c>
      <c r="U16" s="30">
        <f t="shared" si="3"/>
        <v>2005</v>
      </c>
      <c r="V16" s="29">
        <v>43100</v>
      </c>
      <c r="W16" s="30">
        <f t="shared" si="4"/>
        <v>2017</v>
      </c>
      <c r="X16" s="31">
        <f t="shared" si="5"/>
        <v>13</v>
      </c>
      <c r="Y16" s="32">
        <v>0.99934740047857296</v>
      </c>
    </row>
    <row r="17" spans="1:25" x14ac:dyDescent="0.25">
      <c r="A17" s="33">
        <v>16</v>
      </c>
      <c r="B17" s="91"/>
      <c r="C17" s="34">
        <v>5591200</v>
      </c>
      <c r="D17" s="5" t="s">
        <v>253</v>
      </c>
      <c r="E17" s="3">
        <v>39</v>
      </c>
      <c r="F17" s="3">
        <v>35</v>
      </c>
      <c r="G17" s="3">
        <v>0</v>
      </c>
      <c r="H17" s="3">
        <v>88</v>
      </c>
      <c r="I17" s="3">
        <v>24</v>
      </c>
      <c r="J17" s="3">
        <v>48</v>
      </c>
      <c r="K17" s="3" t="s">
        <v>97</v>
      </c>
      <c r="L17" s="6">
        <f t="shared" si="0"/>
        <v>39.583333333333336</v>
      </c>
      <c r="M17" s="6">
        <f t="shared" si="1"/>
        <v>88.413333333333341</v>
      </c>
      <c r="N17" s="35" t="s">
        <v>83</v>
      </c>
      <c r="O17" s="36">
        <v>378621.6</v>
      </c>
      <c r="P17" s="36">
        <v>4382470.7</v>
      </c>
      <c r="Q17" s="3" t="s">
        <v>235</v>
      </c>
      <c r="R17" s="3">
        <v>617.4</v>
      </c>
      <c r="S17" s="7">
        <f t="shared" ref="S17:S25" si="7">R17*0.3048</f>
        <v>188.18352000000002</v>
      </c>
      <c r="T17" s="8">
        <v>25807</v>
      </c>
      <c r="U17" s="51">
        <f t="shared" si="3"/>
        <v>1970</v>
      </c>
      <c r="V17" s="29">
        <v>43100</v>
      </c>
      <c r="W17" s="51">
        <f t="shared" si="4"/>
        <v>2017</v>
      </c>
      <c r="X17" s="37">
        <f t="shared" si="5"/>
        <v>48</v>
      </c>
      <c r="Y17" s="38">
        <v>0.99872788250260203</v>
      </c>
    </row>
    <row r="18" spans="1:25" x14ac:dyDescent="0.25">
      <c r="A18" s="33">
        <v>17</v>
      </c>
      <c r="B18" s="91"/>
      <c r="C18" s="34">
        <v>5590520</v>
      </c>
      <c r="D18" s="5" t="s">
        <v>254</v>
      </c>
      <c r="E18" s="3">
        <v>39</v>
      </c>
      <c r="F18" s="3">
        <v>47</v>
      </c>
      <c r="G18" s="3">
        <v>30</v>
      </c>
      <c r="H18" s="3">
        <v>88</v>
      </c>
      <c r="I18" s="3">
        <v>22</v>
      </c>
      <c r="J18" s="3">
        <v>4</v>
      </c>
      <c r="K18" s="35" t="s">
        <v>83</v>
      </c>
      <c r="L18" s="6">
        <f t="shared" si="0"/>
        <v>39.791666666666664</v>
      </c>
      <c r="M18" s="6">
        <f t="shared" si="1"/>
        <v>88.367777777777775</v>
      </c>
      <c r="N18" s="35" t="s">
        <v>83</v>
      </c>
      <c r="O18" s="36">
        <v>382890.8</v>
      </c>
      <c r="P18" s="36">
        <v>4405529.4000000004</v>
      </c>
      <c r="Q18" s="35" t="s">
        <v>255</v>
      </c>
      <c r="R18" s="3">
        <v>641.87</v>
      </c>
      <c r="S18" s="7">
        <f t="shared" si="7"/>
        <v>195.641976</v>
      </c>
      <c r="T18" s="8">
        <v>41071</v>
      </c>
      <c r="U18" s="9">
        <f t="shared" si="3"/>
        <v>2012</v>
      </c>
      <c r="V18" s="8">
        <v>43100</v>
      </c>
      <c r="W18" s="9">
        <f t="shared" si="4"/>
        <v>2017</v>
      </c>
      <c r="X18" s="37">
        <f t="shared" si="5"/>
        <v>6</v>
      </c>
      <c r="Y18" s="38">
        <v>1</v>
      </c>
    </row>
    <row r="19" spans="1:25" x14ac:dyDescent="0.25">
      <c r="A19" s="33">
        <v>18</v>
      </c>
      <c r="B19" s="91"/>
      <c r="C19" s="34">
        <v>5590950</v>
      </c>
      <c r="D19" s="5" t="s">
        <v>256</v>
      </c>
      <c r="E19" s="3">
        <v>39</v>
      </c>
      <c r="F19" s="3">
        <v>42</v>
      </c>
      <c r="G19" s="3">
        <v>11</v>
      </c>
      <c r="H19" s="3">
        <v>88</v>
      </c>
      <c r="I19" s="3">
        <v>23</v>
      </c>
      <c r="J19" s="3">
        <v>11</v>
      </c>
      <c r="K19" s="3" t="s">
        <v>97</v>
      </c>
      <c r="L19" s="6">
        <f t="shared" si="0"/>
        <v>39.703055555555558</v>
      </c>
      <c r="M19" s="6">
        <f t="shared" si="1"/>
        <v>88.386388888888902</v>
      </c>
      <c r="N19" s="35" t="s">
        <v>83</v>
      </c>
      <c r="O19" s="36">
        <v>381140.7</v>
      </c>
      <c r="P19" s="36">
        <v>4395722.5</v>
      </c>
      <c r="Q19" s="3" t="s">
        <v>235</v>
      </c>
      <c r="R19" s="3">
        <v>600</v>
      </c>
      <c r="S19" s="7">
        <f t="shared" si="7"/>
        <v>182.88</v>
      </c>
      <c r="T19" s="8">
        <v>34830</v>
      </c>
      <c r="U19" s="9">
        <f t="shared" si="3"/>
        <v>1995</v>
      </c>
      <c r="V19" s="8">
        <v>43100</v>
      </c>
      <c r="W19" s="9">
        <f t="shared" si="4"/>
        <v>2017</v>
      </c>
      <c r="X19" s="37">
        <f t="shared" si="5"/>
        <v>23</v>
      </c>
      <c r="Y19" s="38">
        <v>0.99975816203143897</v>
      </c>
    </row>
    <row r="20" spans="1:25" x14ac:dyDescent="0.25">
      <c r="A20" s="33">
        <v>19</v>
      </c>
      <c r="B20" s="91"/>
      <c r="C20" s="34">
        <v>5591550</v>
      </c>
      <c r="D20" s="5" t="s">
        <v>257</v>
      </c>
      <c r="E20" s="3">
        <v>39</v>
      </c>
      <c r="F20" s="3">
        <v>30</v>
      </c>
      <c r="G20" s="3">
        <v>24</v>
      </c>
      <c r="H20" s="3">
        <v>88</v>
      </c>
      <c r="I20" s="3">
        <v>31</v>
      </c>
      <c r="J20" s="3">
        <v>39</v>
      </c>
      <c r="K20" s="3" t="s">
        <v>97</v>
      </c>
      <c r="L20" s="6">
        <f t="shared" si="0"/>
        <v>39.506666666666668</v>
      </c>
      <c r="M20" s="6">
        <f t="shared" si="1"/>
        <v>88.527500000000003</v>
      </c>
      <c r="N20" s="35" t="s">
        <v>83</v>
      </c>
      <c r="O20" s="36">
        <v>368672</v>
      </c>
      <c r="P20" s="36">
        <v>4374122</v>
      </c>
      <c r="Q20" s="3" t="s">
        <v>235</v>
      </c>
      <c r="R20" s="3">
        <v>617</v>
      </c>
      <c r="S20" s="7">
        <f t="shared" si="7"/>
        <v>188.0616</v>
      </c>
      <c r="T20" s="8">
        <v>29271</v>
      </c>
      <c r="U20" s="9">
        <f t="shared" si="3"/>
        <v>1980</v>
      </c>
      <c r="V20" s="8">
        <v>43100</v>
      </c>
      <c r="W20" s="9">
        <f t="shared" si="4"/>
        <v>2017</v>
      </c>
      <c r="X20" s="37">
        <f t="shared" si="5"/>
        <v>38</v>
      </c>
      <c r="Y20" s="38">
        <v>1</v>
      </c>
    </row>
    <row r="21" spans="1:25" x14ac:dyDescent="0.25">
      <c r="A21" s="33">
        <v>20</v>
      </c>
      <c r="B21" s="91"/>
      <c r="C21" s="34">
        <v>5591700</v>
      </c>
      <c r="D21" s="5" t="s">
        <v>258</v>
      </c>
      <c r="E21" s="3">
        <v>39</v>
      </c>
      <c r="F21" s="3">
        <v>43</v>
      </c>
      <c r="G21" s="3">
        <v>52</v>
      </c>
      <c r="H21" s="3">
        <v>88</v>
      </c>
      <c r="I21" s="3">
        <v>39</v>
      </c>
      <c r="J21" s="3">
        <v>45</v>
      </c>
      <c r="K21" s="3" t="s">
        <v>97</v>
      </c>
      <c r="L21" s="6">
        <f t="shared" si="0"/>
        <v>39.731111111111112</v>
      </c>
      <c r="M21" s="6">
        <f t="shared" si="1"/>
        <v>88.662500000000009</v>
      </c>
      <c r="N21" s="35" t="s">
        <v>83</v>
      </c>
      <c r="O21" s="36">
        <v>357525.2</v>
      </c>
      <c r="P21" s="36">
        <v>4399239.2</v>
      </c>
      <c r="Q21" s="3" t="s">
        <v>235</v>
      </c>
      <c r="R21" s="3">
        <v>632.5</v>
      </c>
      <c r="S21" s="7">
        <f t="shared" si="7"/>
        <v>192.786</v>
      </c>
      <c r="T21" s="8">
        <v>29271</v>
      </c>
      <c r="U21" s="9">
        <f t="shared" si="3"/>
        <v>1980</v>
      </c>
      <c r="V21" s="8">
        <v>43100</v>
      </c>
      <c r="W21" s="9">
        <f t="shared" si="4"/>
        <v>2017</v>
      </c>
      <c r="X21" s="37">
        <f t="shared" si="5"/>
        <v>38</v>
      </c>
      <c r="Y21" s="38">
        <v>1</v>
      </c>
    </row>
    <row r="22" spans="1:25" x14ac:dyDescent="0.25">
      <c r="A22" s="33">
        <v>21</v>
      </c>
      <c r="B22" s="91"/>
      <c r="C22" s="34">
        <v>5590800</v>
      </c>
      <c r="D22" s="5" t="s">
        <v>259</v>
      </c>
      <c r="E22" s="3">
        <v>39</v>
      </c>
      <c r="F22" s="3">
        <v>48</v>
      </c>
      <c r="G22" s="3">
        <v>23</v>
      </c>
      <c r="H22" s="3">
        <v>88</v>
      </c>
      <c r="I22" s="3">
        <v>28</v>
      </c>
      <c r="J22" s="3">
        <v>34</v>
      </c>
      <c r="K22" s="3" t="s">
        <v>97</v>
      </c>
      <c r="L22" s="6">
        <f t="shared" si="0"/>
        <v>39.806388888888883</v>
      </c>
      <c r="M22" s="6">
        <f t="shared" si="1"/>
        <v>88.476111111111109</v>
      </c>
      <c r="N22" s="35" t="s">
        <v>83</v>
      </c>
      <c r="O22" s="36">
        <v>373637.1</v>
      </c>
      <c r="P22" s="36">
        <v>4407314.5</v>
      </c>
      <c r="Q22" s="3" t="s">
        <v>235</v>
      </c>
      <c r="R22" s="3">
        <v>644.58000000000004</v>
      </c>
      <c r="S22" s="7">
        <f t="shared" si="7"/>
        <v>196.46798400000003</v>
      </c>
      <c r="T22" s="8">
        <v>26573</v>
      </c>
      <c r="U22" s="9">
        <f t="shared" si="3"/>
        <v>1972</v>
      </c>
      <c r="V22" s="8">
        <v>43100</v>
      </c>
      <c r="W22" s="9">
        <f t="shared" si="4"/>
        <v>2017</v>
      </c>
      <c r="X22" s="37">
        <f t="shared" si="5"/>
        <v>46</v>
      </c>
      <c r="Y22" s="38">
        <v>0.99842691190706678</v>
      </c>
    </row>
    <row r="23" spans="1:25" x14ac:dyDescent="0.25">
      <c r="A23" s="33">
        <v>22</v>
      </c>
      <c r="B23" s="91"/>
      <c r="C23" s="34">
        <v>5592000</v>
      </c>
      <c r="D23" s="5" t="s">
        <v>260</v>
      </c>
      <c r="E23" s="3">
        <v>39</v>
      </c>
      <c r="F23" s="3">
        <v>24</v>
      </c>
      <c r="G23" s="3">
        <v>26</v>
      </c>
      <c r="H23" s="3">
        <v>88</v>
      </c>
      <c r="I23" s="3">
        <v>46</v>
      </c>
      <c r="J23" s="3">
        <v>53</v>
      </c>
      <c r="K23" s="3" t="s">
        <v>97</v>
      </c>
      <c r="L23" s="6">
        <f t="shared" si="0"/>
        <v>39.407222222222224</v>
      </c>
      <c r="M23" s="6">
        <f t="shared" si="1"/>
        <v>88.781388888888884</v>
      </c>
      <c r="N23" s="35" t="s">
        <v>83</v>
      </c>
      <c r="O23" s="36">
        <v>346623.9</v>
      </c>
      <c r="P23" s="36">
        <v>4363486.4000000004</v>
      </c>
      <c r="Q23" s="3" t="s">
        <v>235</v>
      </c>
      <c r="R23" s="3">
        <v>530</v>
      </c>
      <c r="S23" s="7">
        <f t="shared" si="7"/>
        <v>161.54400000000001</v>
      </c>
      <c r="T23" s="8">
        <v>2978</v>
      </c>
      <c r="U23" s="9">
        <f t="shared" si="3"/>
        <v>1908</v>
      </c>
      <c r="V23" s="8">
        <v>43100</v>
      </c>
      <c r="W23" s="9">
        <f t="shared" si="4"/>
        <v>2017</v>
      </c>
      <c r="X23" s="37">
        <f t="shared" si="5"/>
        <v>110</v>
      </c>
      <c r="Y23" s="38">
        <v>0.74657926874859804</v>
      </c>
    </row>
    <row r="24" spans="1:25" x14ac:dyDescent="0.25">
      <c r="A24" s="33">
        <v>23</v>
      </c>
      <c r="B24" s="91"/>
      <c r="C24" s="34">
        <v>5592050</v>
      </c>
      <c r="D24" s="5" t="s">
        <v>261</v>
      </c>
      <c r="E24" s="3">
        <v>39</v>
      </c>
      <c r="F24" s="3">
        <v>24</v>
      </c>
      <c r="G24" s="3">
        <v>21</v>
      </c>
      <c r="H24" s="3">
        <v>88</v>
      </c>
      <c r="I24" s="3">
        <v>53</v>
      </c>
      <c r="J24" s="3">
        <v>47</v>
      </c>
      <c r="K24" s="3" t="s">
        <v>97</v>
      </c>
      <c r="L24" s="6">
        <f t="shared" si="0"/>
        <v>39.405833333333334</v>
      </c>
      <c r="M24" s="6">
        <f t="shared" si="1"/>
        <v>88.896388888888893</v>
      </c>
      <c r="N24" s="35" t="s">
        <v>83</v>
      </c>
      <c r="O24" s="36">
        <v>336718.4</v>
      </c>
      <c r="P24" s="36">
        <v>4363534.0999999996</v>
      </c>
      <c r="Q24" s="3" t="s">
        <v>235</v>
      </c>
      <c r="R24" s="3">
        <v>550</v>
      </c>
      <c r="S24" s="7">
        <f t="shared" si="7"/>
        <v>167.64000000000001</v>
      </c>
      <c r="T24" s="8">
        <v>29129</v>
      </c>
      <c r="U24" s="9">
        <f t="shared" si="3"/>
        <v>1979</v>
      </c>
      <c r="V24" s="8">
        <v>43100</v>
      </c>
      <c r="W24" s="9">
        <f t="shared" si="4"/>
        <v>2017</v>
      </c>
      <c r="X24" s="37">
        <f t="shared" si="5"/>
        <v>39</v>
      </c>
      <c r="Y24" s="38">
        <v>0.99992842828514172</v>
      </c>
    </row>
    <row r="25" spans="1:25" ht="15.75" thickBot="1" x14ac:dyDescent="0.3">
      <c r="A25" s="39">
        <v>24</v>
      </c>
      <c r="B25" s="92"/>
      <c r="C25" s="40">
        <v>5592100</v>
      </c>
      <c r="D25" s="41" t="s">
        <v>262</v>
      </c>
      <c r="E25" s="42">
        <v>39</v>
      </c>
      <c r="F25" s="42">
        <v>13</v>
      </c>
      <c r="G25" s="42">
        <v>47</v>
      </c>
      <c r="H25" s="42">
        <v>88</v>
      </c>
      <c r="I25" s="42">
        <v>50</v>
      </c>
      <c r="J25" s="42">
        <v>30</v>
      </c>
      <c r="K25" s="42" t="s">
        <v>97</v>
      </c>
      <c r="L25" s="43">
        <f t="shared" si="0"/>
        <v>39.229722222222222</v>
      </c>
      <c r="M25" s="43">
        <f t="shared" si="1"/>
        <v>88.841666666666669</v>
      </c>
      <c r="N25" s="44" t="s">
        <v>83</v>
      </c>
      <c r="O25" s="45">
        <v>341032.7</v>
      </c>
      <c r="P25" s="45">
        <v>4343890.4000000004</v>
      </c>
      <c r="Q25" s="42" t="s">
        <v>235</v>
      </c>
      <c r="R25" s="42">
        <v>500</v>
      </c>
      <c r="S25" s="46">
        <f t="shared" si="7"/>
        <v>152.4</v>
      </c>
      <c r="T25" s="47">
        <v>25750</v>
      </c>
      <c r="U25" s="48">
        <f t="shared" si="3"/>
        <v>1970</v>
      </c>
      <c r="V25" s="47">
        <v>43100</v>
      </c>
      <c r="W25" s="48">
        <f t="shared" si="4"/>
        <v>2017</v>
      </c>
      <c r="X25" s="49">
        <f t="shared" si="5"/>
        <v>48</v>
      </c>
      <c r="Y25" s="50">
        <v>0.9999423664342113</v>
      </c>
    </row>
    <row r="26" spans="1:25" x14ac:dyDescent="0.25">
      <c r="B26" s="77"/>
      <c r="L26" s="78"/>
      <c r="M26" s="78"/>
      <c r="N26" s="79"/>
      <c r="O26" s="80"/>
      <c r="P26" s="80"/>
      <c r="S26" s="81"/>
      <c r="T26" s="11"/>
      <c r="U26" s="12"/>
      <c r="V26" s="11"/>
      <c r="W26" s="12"/>
      <c r="X26" s="12"/>
      <c r="Y26" s="82"/>
    </row>
    <row r="27" spans="1:25" x14ac:dyDescent="0.25">
      <c r="V27" s="84" t="s">
        <v>336</v>
      </c>
      <c r="W27" s="84"/>
      <c r="X27" s="84"/>
      <c r="Y27" s="84"/>
    </row>
    <row r="28" spans="1:25" x14ac:dyDescent="0.25">
      <c r="T28" s="1"/>
      <c r="V28" s="89" t="s">
        <v>194</v>
      </c>
      <c r="W28" s="89"/>
      <c r="X28" s="89"/>
      <c r="Y28" s="1">
        <f>COUNTIF(Y2:Y25,"&gt;0.7")</f>
        <v>21</v>
      </c>
    </row>
    <row r="29" spans="1:25" x14ac:dyDescent="0.25">
      <c r="T29" s="1"/>
      <c r="V29" s="89" t="s">
        <v>192</v>
      </c>
      <c r="W29" s="89"/>
      <c r="X29" s="89"/>
      <c r="Y29" s="12">
        <f>AVERAGEIF($Y$2:$Y$25,"&gt;0.7",$U$2:$U$25)</f>
        <v>1974.4285714285713</v>
      </c>
    </row>
    <row r="30" spans="1:25" x14ac:dyDescent="0.25">
      <c r="T30" s="1"/>
      <c r="V30" s="89" t="s">
        <v>193</v>
      </c>
      <c r="W30" s="89"/>
      <c r="X30" s="89"/>
      <c r="Y30" s="12">
        <f>AVERAGEIF($Y$2:$Y$25,"&gt;0.7",$W$2:$W$25)</f>
        <v>2017</v>
      </c>
    </row>
    <row r="31" spans="1:25" ht="15.75" thickBot="1" x14ac:dyDescent="0.3">
      <c r="V31" s="84"/>
      <c r="W31" s="84"/>
      <c r="X31" s="84"/>
    </row>
    <row r="32" spans="1:25" ht="15.75" thickBot="1" x14ac:dyDescent="0.3">
      <c r="A32" s="52" t="s">
        <v>4</v>
      </c>
      <c r="B32" s="19" t="s">
        <v>222</v>
      </c>
      <c r="C32" s="20" t="s">
        <v>63</v>
      </c>
      <c r="D32" s="53" t="s">
        <v>64</v>
      </c>
      <c r="E32" s="18" t="s">
        <v>223</v>
      </c>
      <c r="F32" s="18" t="s">
        <v>224</v>
      </c>
      <c r="G32" s="18" t="s">
        <v>225</v>
      </c>
      <c r="H32" s="18" t="s">
        <v>226</v>
      </c>
      <c r="I32" s="18" t="s">
        <v>227</v>
      </c>
      <c r="J32" s="18" t="s">
        <v>228</v>
      </c>
      <c r="K32" s="18" t="s">
        <v>65</v>
      </c>
      <c r="L32" s="18" t="s">
        <v>66</v>
      </c>
      <c r="M32" s="18" t="s">
        <v>67</v>
      </c>
      <c r="N32" s="18" t="s">
        <v>65</v>
      </c>
      <c r="O32" s="18" t="s">
        <v>229</v>
      </c>
      <c r="P32" s="18" t="s">
        <v>230</v>
      </c>
      <c r="Q32" s="18" t="s">
        <v>70</v>
      </c>
      <c r="R32" s="18" t="s">
        <v>231</v>
      </c>
      <c r="S32" s="18" t="s">
        <v>71</v>
      </c>
      <c r="T32" s="18" t="s">
        <v>72</v>
      </c>
      <c r="U32" s="18" t="s">
        <v>73</v>
      </c>
      <c r="V32" s="18" t="s">
        <v>74</v>
      </c>
      <c r="W32" s="18" t="s">
        <v>75</v>
      </c>
      <c r="X32" s="19" t="s">
        <v>76</v>
      </c>
      <c r="Y32" s="54" t="s">
        <v>263</v>
      </c>
    </row>
    <row r="33" spans="1:25" x14ac:dyDescent="0.25">
      <c r="A33" s="55">
        <v>3</v>
      </c>
      <c r="B33" s="55" t="s">
        <v>233</v>
      </c>
      <c r="C33" s="56">
        <v>5594800</v>
      </c>
      <c r="D33" s="5" t="s">
        <v>237</v>
      </c>
      <c r="E33" s="3">
        <v>38</v>
      </c>
      <c r="F33" s="3">
        <v>24</v>
      </c>
      <c r="G33" s="3">
        <v>22</v>
      </c>
      <c r="H33" s="3">
        <v>89</v>
      </c>
      <c r="I33" s="3">
        <v>52</v>
      </c>
      <c r="J33" s="3">
        <v>26</v>
      </c>
      <c r="K33" s="3" t="s">
        <v>97</v>
      </c>
      <c r="L33" s="6">
        <f t="shared" ref="L33:L34" si="8">E33+F33/60+G33/3600</f>
        <v>38.406111111111109</v>
      </c>
      <c r="M33" s="6">
        <f t="shared" ref="M33:M34" si="9">H33+I33/60+J33/3600</f>
        <v>89.873888888888885</v>
      </c>
      <c r="N33" s="35" t="s">
        <v>83</v>
      </c>
      <c r="O33" s="36">
        <v>249045.1</v>
      </c>
      <c r="P33" s="36">
        <v>4254792.8</v>
      </c>
      <c r="Q33" s="3" t="s">
        <v>235</v>
      </c>
      <c r="R33" s="7">
        <v>381.4</v>
      </c>
      <c r="S33" s="7">
        <f t="shared" ref="S33:S34" si="10">R33*0.3048</f>
        <v>116.25072</v>
      </c>
      <c r="T33" s="8">
        <v>29507</v>
      </c>
      <c r="U33" s="9">
        <f t="shared" ref="U33:U34" si="11">YEAR(T33)</f>
        <v>1980</v>
      </c>
      <c r="V33" s="8">
        <v>40380</v>
      </c>
      <c r="W33" s="9">
        <f t="shared" ref="W33:W34" si="12">YEAR(V33)</f>
        <v>2010</v>
      </c>
      <c r="X33" s="37">
        <f t="shared" ref="X33:X34" si="13">YEAR(V33)-YEAR(T33)+1</f>
        <v>31</v>
      </c>
      <c r="Y33" s="57">
        <v>0.12240205995953651</v>
      </c>
    </row>
    <row r="34" spans="1:25" x14ac:dyDescent="0.25">
      <c r="A34" s="3">
        <v>9</v>
      </c>
      <c r="B34" s="3" t="s">
        <v>241</v>
      </c>
      <c r="C34" s="34">
        <v>5592500</v>
      </c>
      <c r="D34" s="5" t="s">
        <v>245</v>
      </c>
      <c r="E34" s="3">
        <v>38</v>
      </c>
      <c r="F34" s="3">
        <v>57</v>
      </c>
      <c r="G34" s="3">
        <v>38</v>
      </c>
      <c r="H34" s="3">
        <v>89</v>
      </c>
      <c r="I34" s="3">
        <v>5</v>
      </c>
      <c r="J34" s="3">
        <v>20</v>
      </c>
      <c r="K34" s="3" t="s">
        <v>97</v>
      </c>
      <c r="L34" s="6">
        <f t="shared" si="8"/>
        <v>38.960555555555558</v>
      </c>
      <c r="M34" s="6">
        <f t="shared" si="9"/>
        <v>89.088888888888889</v>
      </c>
      <c r="N34" s="35" t="s">
        <v>83</v>
      </c>
      <c r="O34" s="36">
        <v>319004.90000000002</v>
      </c>
      <c r="P34" s="36">
        <v>4314479.5999999996</v>
      </c>
      <c r="Q34" s="3" t="s">
        <v>235</v>
      </c>
      <c r="R34" s="7">
        <v>453.3</v>
      </c>
      <c r="S34" s="7">
        <f t="shared" si="10"/>
        <v>138.16584</v>
      </c>
      <c r="T34" s="8">
        <v>29508</v>
      </c>
      <c r="U34" s="9">
        <f t="shared" si="11"/>
        <v>1980</v>
      </c>
      <c r="V34" s="8">
        <v>42712</v>
      </c>
      <c r="W34" s="9">
        <f t="shared" si="12"/>
        <v>2016</v>
      </c>
      <c r="X34" s="37">
        <f t="shared" si="13"/>
        <v>37</v>
      </c>
      <c r="Y34" s="57">
        <v>0.14486936766376374</v>
      </c>
    </row>
    <row r="35" spans="1:25" x14ac:dyDescent="0.25">
      <c r="L35" s="78"/>
      <c r="M35" s="78"/>
      <c r="N35" s="79"/>
      <c r="O35" s="80"/>
      <c r="P35" s="80"/>
      <c r="R35" s="81"/>
      <c r="S35" s="81"/>
      <c r="T35" s="11"/>
      <c r="U35" s="12"/>
      <c r="V35" s="11"/>
      <c r="W35" s="12"/>
      <c r="X35" s="12"/>
      <c r="Y35" s="82"/>
    </row>
    <row r="36" spans="1:25" x14ac:dyDescent="0.25">
      <c r="V36" s="84" t="s">
        <v>337</v>
      </c>
      <c r="W36" s="84"/>
      <c r="X36" s="84"/>
      <c r="Y36" s="84"/>
    </row>
    <row r="37" spans="1:25" x14ac:dyDescent="0.25">
      <c r="V37" s="89" t="s">
        <v>264</v>
      </c>
      <c r="W37" s="89"/>
      <c r="X37" s="89"/>
      <c r="Y37" s="1">
        <f>COUNTIF(Y33:Y34,"&gt;0.0")</f>
        <v>2</v>
      </c>
    </row>
    <row r="38" spans="1:25" x14ac:dyDescent="0.25">
      <c r="V38" s="89" t="s">
        <v>192</v>
      </c>
      <c r="W38" s="89"/>
      <c r="X38" s="89"/>
      <c r="Y38" s="12">
        <f>AVERAGEIF($Y$33:$Y$34,"&gt;0.0",$U$33:$U$34)</f>
        <v>1980</v>
      </c>
    </row>
    <row r="39" spans="1:25" x14ac:dyDescent="0.25">
      <c r="V39" s="89" t="s">
        <v>193</v>
      </c>
      <c r="W39" s="89"/>
      <c r="X39" s="89"/>
      <c r="Y39" s="12">
        <f>AVERAGEIF($Y$33:$Y$34,"&gt;0.0",$W$33:$W$34)</f>
        <v>2013</v>
      </c>
    </row>
  </sheetData>
  <mergeCells count="12">
    <mergeCell ref="V31:X31"/>
    <mergeCell ref="V37:X37"/>
    <mergeCell ref="V38:X38"/>
    <mergeCell ref="V39:X39"/>
    <mergeCell ref="B2:B7"/>
    <mergeCell ref="B8:B15"/>
    <mergeCell ref="B16:B25"/>
    <mergeCell ref="V28:X28"/>
    <mergeCell ref="V29:X29"/>
    <mergeCell ref="V30:X30"/>
    <mergeCell ref="V27:Y27"/>
    <mergeCell ref="V36:Y36"/>
  </mergeCells>
  <conditionalFormatting sqref="Y2:Y26">
    <cfRule type="cellIs" dxfId="7" priority="1" operator="lessThan">
      <formula>0.4999</formula>
    </cfRule>
    <cfRule type="cellIs" dxfId="6" priority="2" operator="between">
      <formula>0.5</formula>
      <formula>0.6999</formula>
    </cfRule>
    <cfRule type="cellIs" dxfId="5" priority="3" operator="between">
      <formula>0.7</formula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"/>
  <sheetViews>
    <sheetView workbookViewId="0">
      <selection activeCell="H15" sqref="H15"/>
    </sheetView>
  </sheetViews>
  <sheetFormatPr defaultRowHeight="15" x14ac:dyDescent="0.25"/>
  <cols>
    <col min="1" max="1" width="7.28515625" bestFit="1" customWidth="1"/>
    <col min="2" max="2" width="13.28515625" bestFit="1" customWidth="1"/>
    <col min="3" max="3" width="21.85546875" bestFit="1" customWidth="1"/>
    <col min="4" max="4" width="15.5703125" bestFit="1" customWidth="1"/>
    <col min="5" max="5" width="9.5703125" bestFit="1" customWidth="1"/>
    <col min="6" max="6" width="10.28515625" bestFit="1" customWidth="1"/>
    <col min="7" max="7" width="15.5703125" bestFit="1" customWidth="1"/>
    <col min="8" max="8" width="10.5703125" bestFit="1" customWidth="1"/>
    <col min="9" max="9" width="11.140625" bestFit="1" customWidth="1"/>
    <col min="10" max="10" width="15.7109375" bestFit="1" customWidth="1"/>
    <col min="11" max="11" width="12" bestFit="1" customWidth="1"/>
    <col min="12" max="12" width="10.7109375" bestFit="1" customWidth="1"/>
    <col min="13" max="13" width="10.140625" customWidth="1"/>
    <col min="14" max="14" width="10.7109375" bestFit="1" customWidth="1"/>
    <col min="15" max="15" width="9.28515625" bestFit="1" customWidth="1"/>
    <col min="16" max="16" width="5.85546875" bestFit="1" customWidth="1"/>
    <col min="17" max="17" width="9.85546875" bestFit="1" customWidth="1"/>
  </cols>
  <sheetData>
    <row r="1" spans="1:17" x14ac:dyDescent="0.2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67</v>
      </c>
      <c r="G1" s="4" t="s">
        <v>65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74</v>
      </c>
      <c r="O1" s="4" t="s">
        <v>75</v>
      </c>
      <c r="P1" s="4" t="s">
        <v>76</v>
      </c>
      <c r="Q1" s="76" t="s">
        <v>266</v>
      </c>
    </row>
    <row r="2" spans="1:17" x14ac:dyDescent="0.25">
      <c r="A2" s="3">
        <v>1</v>
      </c>
      <c r="B2" s="3">
        <v>1120</v>
      </c>
      <c r="C2" s="5" t="s">
        <v>200</v>
      </c>
      <c r="D2" s="3" t="s">
        <v>84</v>
      </c>
      <c r="E2" s="6">
        <v>40.14</v>
      </c>
      <c r="F2" s="6">
        <v>-88.38</v>
      </c>
      <c r="G2" s="3" t="s">
        <v>83</v>
      </c>
      <c r="H2" s="6">
        <v>40.14</v>
      </c>
      <c r="I2" s="6">
        <v>-88.38</v>
      </c>
      <c r="J2" s="3" t="s">
        <v>84</v>
      </c>
      <c r="K2" s="7">
        <f>701.8*0.3048</f>
        <v>213.90863999999999</v>
      </c>
      <c r="L2" s="8">
        <v>30071</v>
      </c>
      <c r="M2" s="9">
        <f>YEAR(L2)</f>
        <v>1982</v>
      </c>
      <c r="N2" s="8">
        <v>43069</v>
      </c>
      <c r="O2" s="9">
        <f>YEAR(N2)</f>
        <v>2017</v>
      </c>
      <c r="P2" s="37">
        <f>YEAR(N2)-YEAR(L2)+1</f>
        <v>36</v>
      </c>
      <c r="Q2" s="10">
        <v>3.2771751673205632E-2</v>
      </c>
    </row>
    <row r="3" spans="1:17" x14ac:dyDescent="0.25">
      <c r="A3" s="3">
        <v>2</v>
      </c>
      <c r="B3" s="3">
        <v>3</v>
      </c>
      <c r="C3" s="5" t="s">
        <v>267</v>
      </c>
      <c r="D3" s="3" t="s">
        <v>84</v>
      </c>
      <c r="E3" s="6">
        <v>38.949199999999998</v>
      </c>
      <c r="F3" s="6">
        <v>-88.959400000000002</v>
      </c>
      <c r="G3" s="3" t="s">
        <v>83</v>
      </c>
      <c r="H3" s="6">
        <v>38.949199999999998</v>
      </c>
      <c r="I3" s="6">
        <v>-88.959400000000002</v>
      </c>
      <c r="J3" s="3" t="s">
        <v>84</v>
      </c>
      <c r="K3" s="7">
        <f>581*0.3048</f>
        <v>177.08880000000002</v>
      </c>
      <c r="L3" s="8">
        <v>35522</v>
      </c>
      <c r="M3" s="9">
        <f t="shared" ref="M3:M6" si="0">YEAR(L3)</f>
        <v>1997</v>
      </c>
      <c r="N3" s="8">
        <v>43100</v>
      </c>
      <c r="O3" s="9">
        <f t="shared" ref="O3:O6" si="1">YEAR(N3)</f>
        <v>2017</v>
      </c>
      <c r="P3" s="37">
        <f t="shared" ref="P3:P6" si="2">YEAR(N3)-YEAR(L3)+1</f>
        <v>21</v>
      </c>
      <c r="Q3" s="10">
        <v>0.87465364823855385</v>
      </c>
    </row>
    <row r="4" spans="1:17" x14ac:dyDescent="0.25">
      <c r="A4" s="3">
        <v>3</v>
      </c>
      <c r="B4" s="3">
        <v>153</v>
      </c>
      <c r="C4" s="5" t="s">
        <v>268</v>
      </c>
      <c r="D4" s="3" t="s">
        <v>84</v>
      </c>
      <c r="E4" s="6">
        <v>38.880000000000003</v>
      </c>
      <c r="F4" s="6">
        <v>-88.88</v>
      </c>
      <c r="G4" s="3" t="s">
        <v>83</v>
      </c>
      <c r="H4" s="6">
        <v>38.880000000000003</v>
      </c>
      <c r="I4" s="6">
        <v>-88.88</v>
      </c>
      <c r="J4" s="3" t="s">
        <v>84</v>
      </c>
      <c r="K4" s="7">
        <f>598*0.3048</f>
        <v>182.2704</v>
      </c>
      <c r="L4" s="8">
        <v>23893</v>
      </c>
      <c r="M4" s="9">
        <f t="shared" si="0"/>
        <v>1965</v>
      </c>
      <c r="N4" s="8">
        <v>42822</v>
      </c>
      <c r="O4" s="9">
        <f t="shared" si="1"/>
        <v>2017</v>
      </c>
      <c r="P4" s="37">
        <f t="shared" si="2"/>
        <v>53</v>
      </c>
      <c r="Q4" s="10">
        <v>3.2382461701003701E-2</v>
      </c>
    </row>
    <row r="5" spans="1:17" x14ac:dyDescent="0.25">
      <c r="A5" s="3">
        <v>4</v>
      </c>
      <c r="B5" s="3">
        <v>10</v>
      </c>
      <c r="C5" s="5" t="s">
        <v>204</v>
      </c>
      <c r="D5" s="3" t="s">
        <v>84</v>
      </c>
      <c r="E5" s="6">
        <v>38.518300000000004</v>
      </c>
      <c r="F5" s="6">
        <v>-89.841700000000003</v>
      </c>
      <c r="G5" s="3" t="s">
        <v>83</v>
      </c>
      <c r="H5" s="6">
        <v>38.518300000000004</v>
      </c>
      <c r="I5" s="6">
        <v>-89.841700000000003</v>
      </c>
      <c r="J5" s="3" t="s">
        <v>84</v>
      </c>
      <c r="K5" s="7">
        <f>436*0.3048</f>
        <v>132.89279999999999</v>
      </c>
      <c r="L5" s="8">
        <v>36579</v>
      </c>
      <c r="M5" s="9">
        <f t="shared" si="0"/>
        <v>2000</v>
      </c>
      <c r="N5" s="8">
        <v>43100</v>
      </c>
      <c r="O5" s="9">
        <f t="shared" si="1"/>
        <v>2017</v>
      </c>
      <c r="P5" s="37">
        <f t="shared" si="2"/>
        <v>18</v>
      </c>
      <c r="Q5" s="10">
        <v>0.99233363998773383</v>
      </c>
    </row>
    <row r="6" spans="1:17" x14ac:dyDescent="0.25">
      <c r="A6" s="3">
        <v>5</v>
      </c>
      <c r="B6" s="3">
        <v>171</v>
      </c>
      <c r="C6" s="5" t="s">
        <v>269</v>
      </c>
      <c r="D6" s="3" t="s">
        <v>84</v>
      </c>
      <c r="E6" s="6">
        <v>38.21</v>
      </c>
      <c r="F6" s="6">
        <v>-89.67</v>
      </c>
      <c r="G6" s="3" t="s">
        <v>83</v>
      </c>
      <c r="H6" s="6">
        <v>38.21</v>
      </c>
      <c r="I6" s="6">
        <v>-89.67</v>
      </c>
      <c r="J6" s="3" t="s">
        <v>84</v>
      </c>
      <c r="K6" s="7">
        <f>512*0.3048</f>
        <v>156.05760000000001</v>
      </c>
      <c r="L6" s="8">
        <v>22236</v>
      </c>
      <c r="M6" s="9">
        <f t="shared" si="0"/>
        <v>1960</v>
      </c>
      <c r="N6" s="8">
        <v>43100</v>
      </c>
      <c r="O6" s="9">
        <f t="shared" si="1"/>
        <v>2017</v>
      </c>
      <c r="P6" s="37">
        <f t="shared" si="2"/>
        <v>58</v>
      </c>
      <c r="Q6" s="10">
        <v>3.2159118140426553E-2</v>
      </c>
    </row>
    <row r="8" spans="1:17" x14ac:dyDescent="0.25">
      <c r="N8" s="89" t="s">
        <v>264</v>
      </c>
      <c r="O8" s="89"/>
      <c r="P8" s="89"/>
      <c r="Q8" s="1">
        <f>COUNTIF(Q2:Q6,"&gt;0.01")</f>
        <v>5</v>
      </c>
    </row>
    <row r="9" spans="1:17" x14ac:dyDescent="0.25">
      <c r="N9" s="89" t="s">
        <v>192</v>
      </c>
      <c r="O9" s="89"/>
      <c r="P9" s="89"/>
      <c r="Q9" s="12">
        <f>AVERAGEIF(Q2:Q6,"&gt;0.01",M2:M6)</f>
        <v>1980.8</v>
      </c>
    </row>
    <row r="10" spans="1:17" x14ac:dyDescent="0.25">
      <c r="N10" s="89" t="s">
        <v>193</v>
      </c>
      <c r="O10" s="89"/>
      <c r="P10" s="89"/>
      <c r="Q10" s="12">
        <f>AVERAGEIF(Q2:Q6,"&gt;0.01",O2:O6)</f>
        <v>2017</v>
      </c>
    </row>
  </sheetData>
  <mergeCells count="3">
    <mergeCell ref="N8:P8"/>
    <mergeCell ref="N9:P9"/>
    <mergeCell ref="N10:P10"/>
  </mergeCells>
  <conditionalFormatting sqref="D2:D6">
    <cfRule type="cellIs" dxfId="4" priority="5" operator="equal">
      <formula>"NAD83"</formula>
    </cfRule>
  </conditionalFormatting>
  <conditionalFormatting sqref="G2:G6">
    <cfRule type="cellIs" dxfId="3" priority="4" operator="equal">
      <formula>"NAD83"</formula>
    </cfRule>
  </conditionalFormatting>
  <conditionalFormatting sqref="Q2:Q6">
    <cfRule type="cellIs" dxfId="2" priority="1" operator="lessThan">
      <formula>0.4999</formula>
    </cfRule>
    <cfRule type="cellIs" dxfId="1" priority="2" operator="between">
      <formula>0.5</formula>
      <formula>0.6999</formula>
    </cfRule>
    <cfRule type="cellIs" dxfId="0" priority="3" operator="between">
      <formula>0.7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Land_Use</vt:lpstr>
      <vt:lpstr>Climate</vt:lpstr>
      <vt:lpstr>River</vt:lpstr>
      <vt:lpstr>Groundwater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2024-10-24T16:38:13Z</dcterms:modified>
</cp:coreProperties>
</file>