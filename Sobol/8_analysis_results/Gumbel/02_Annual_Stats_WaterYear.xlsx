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Sobol\8_analysis_results\Gumbel\"/>
    </mc:Choice>
  </mc:AlternateContent>
  <xr:revisionPtr revIDLastSave="0" documentId="13_ncr:9_{285DEDE7-461B-4AE7-ABFC-AF5B01C3E512}" xr6:coauthVersionLast="47" xr6:coauthVersionMax="47" xr10:uidLastSave="{00000000-0000-0000-0000-000000000000}"/>
  <bookViews>
    <workbookView xWindow="-120" yWindow="-120" windowWidth="29040" windowHeight="17520" activeTab="1" xr2:uid="{6598F531-9EAF-4A00-A441-4D360A3CCBEC}"/>
  </bookViews>
  <sheets>
    <sheet name="02_Annual_Stats_WaterYear" sheetId="1" r:id="rId1"/>
    <sheet name="ObsMax" sheetId="3" r:id="rId2"/>
    <sheet name="Sheet1" sheetId="2" r:id="rId3"/>
  </sheets>
  <calcPr calcId="0"/>
</workbook>
</file>

<file path=xl/calcChain.xml><?xml version="1.0" encoding="utf-8"?>
<calcChain xmlns="http://schemas.openxmlformats.org/spreadsheetml/2006/main">
  <c r="AJ64" i="3" l="1"/>
  <c r="AK64" i="3"/>
  <c r="AL64" i="3"/>
  <c r="AM64" i="3"/>
  <c r="AN64" i="3"/>
  <c r="AJ65" i="3"/>
  <c r="AK65" i="3"/>
  <c r="AL65" i="3"/>
  <c r="AM65" i="3"/>
  <c r="AN65" i="3"/>
  <c r="AJ66" i="3"/>
  <c r="AK66" i="3"/>
  <c r="AL66" i="3"/>
  <c r="AM66" i="3"/>
  <c r="AN66" i="3"/>
  <c r="AJ67" i="3"/>
  <c r="AK67" i="3"/>
  <c r="AL67" i="3"/>
  <c r="AM67" i="3"/>
  <c r="AN67" i="3"/>
  <c r="AJ68" i="3"/>
  <c r="AK68" i="3"/>
  <c r="AL68" i="3"/>
  <c r="AM68" i="3"/>
  <c r="AN68" i="3"/>
  <c r="AJ69" i="3"/>
  <c r="AK69" i="3"/>
  <c r="AL69" i="3"/>
  <c r="AM69" i="3"/>
  <c r="AN69" i="3"/>
  <c r="AJ70" i="3"/>
  <c r="AK70" i="3"/>
  <c r="AL70" i="3"/>
  <c r="AM70" i="3"/>
  <c r="AN70" i="3"/>
  <c r="AJ71" i="3"/>
  <c r="AK71" i="3"/>
  <c r="AL71" i="3"/>
  <c r="AM71" i="3"/>
  <c r="AN71" i="3"/>
  <c r="AN63" i="3"/>
  <c r="AM63" i="3"/>
  <c r="AL63" i="3"/>
  <c r="AK63" i="3"/>
  <c r="AJ63" i="3"/>
  <c r="AJ47" i="3"/>
  <c r="AK47" i="3"/>
  <c r="AL47" i="3"/>
  <c r="AM47" i="3"/>
  <c r="AN47" i="3"/>
  <c r="AJ48" i="3"/>
  <c r="AK48" i="3"/>
  <c r="AL48" i="3"/>
  <c r="AM48" i="3"/>
  <c r="AN48" i="3"/>
  <c r="AJ49" i="3"/>
  <c r="AK49" i="3"/>
  <c r="AL49" i="3"/>
  <c r="AM49" i="3"/>
  <c r="AN49" i="3"/>
  <c r="AJ50" i="3"/>
  <c r="AK50" i="3"/>
  <c r="AL50" i="3"/>
  <c r="AM50" i="3"/>
  <c r="AN50" i="3"/>
  <c r="AJ51" i="3"/>
  <c r="AK51" i="3"/>
  <c r="AL51" i="3"/>
  <c r="AM51" i="3"/>
  <c r="AN51" i="3"/>
  <c r="AJ52" i="3"/>
  <c r="AK52" i="3"/>
  <c r="AL52" i="3"/>
  <c r="AM52" i="3"/>
  <c r="AN52" i="3"/>
  <c r="AJ53" i="3"/>
  <c r="AK53" i="3"/>
  <c r="AL53" i="3"/>
  <c r="AM53" i="3"/>
  <c r="AN53" i="3"/>
  <c r="AJ54" i="3"/>
  <c r="AK54" i="3"/>
  <c r="AL54" i="3"/>
  <c r="AM54" i="3"/>
  <c r="AN54" i="3"/>
  <c r="AN46" i="3"/>
  <c r="AM46" i="3"/>
  <c r="AL46" i="3"/>
  <c r="AK46" i="3"/>
  <c r="AJ46" i="3"/>
  <c r="AG71" i="3"/>
  <c r="AE71" i="3"/>
  <c r="AD71" i="3"/>
  <c r="Z71" i="3"/>
  <c r="Y71" i="3"/>
  <c r="AF71" i="3" s="1"/>
  <c r="X71" i="3"/>
  <c r="W71" i="3"/>
  <c r="V71" i="3"/>
  <c r="AC71" i="3" s="1"/>
  <c r="AG70" i="3"/>
  <c r="AD70" i="3"/>
  <c r="Z70" i="3"/>
  <c r="Y70" i="3"/>
  <c r="AF70" i="3" s="1"/>
  <c r="X70" i="3"/>
  <c r="AE70" i="3" s="1"/>
  <c r="W70" i="3"/>
  <c r="V70" i="3"/>
  <c r="AC70" i="3" s="1"/>
  <c r="AG69" i="3"/>
  <c r="AE69" i="3"/>
  <c r="AD69" i="3"/>
  <c r="Z69" i="3"/>
  <c r="Y69" i="3"/>
  <c r="AF69" i="3" s="1"/>
  <c r="X69" i="3"/>
  <c r="W69" i="3"/>
  <c r="V69" i="3"/>
  <c r="AC69" i="3" s="1"/>
  <c r="AG68" i="3"/>
  <c r="AD68" i="3"/>
  <c r="Z68" i="3"/>
  <c r="Y68" i="3"/>
  <c r="AF68" i="3" s="1"/>
  <c r="X68" i="3"/>
  <c r="AE68" i="3" s="1"/>
  <c r="W68" i="3"/>
  <c r="V68" i="3"/>
  <c r="AC68" i="3" s="1"/>
  <c r="AG67" i="3"/>
  <c r="AE67" i="3"/>
  <c r="AD67" i="3"/>
  <c r="Z67" i="3"/>
  <c r="Y67" i="3"/>
  <c r="AF67" i="3" s="1"/>
  <c r="X67" i="3"/>
  <c r="W67" i="3"/>
  <c r="V67" i="3"/>
  <c r="AC67" i="3" s="1"/>
  <c r="AG66" i="3"/>
  <c r="AD66" i="3"/>
  <c r="Z66" i="3"/>
  <c r="Y66" i="3"/>
  <c r="AF66" i="3" s="1"/>
  <c r="X66" i="3"/>
  <c r="AE66" i="3" s="1"/>
  <c r="W66" i="3"/>
  <c r="V66" i="3"/>
  <c r="AC66" i="3" s="1"/>
  <c r="AG65" i="3"/>
  <c r="AE65" i="3"/>
  <c r="AD65" i="3"/>
  <c r="Z65" i="3"/>
  <c r="Y65" i="3"/>
  <c r="AF65" i="3" s="1"/>
  <c r="X65" i="3"/>
  <c r="W65" i="3"/>
  <c r="V65" i="3"/>
  <c r="AC65" i="3" s="1"/>
  <c r="AG64" i="3"/>
  <c r="AD64" i="3"/>
  <c r="Z64" i="3"/>
  <c r="Y64" i="3"/>
  <c r="AF64" i="3" s="1"/>
  <c r="X64" i="3"/>
  <c r="AE64" i="3" s="1"/>
  <c r="W64" i="3"/>
  <c r="V64" i="3"/>
  <c r="AC64" i="3" s="1"/>
  <c r="AG63" i="3"/>
  <c r="AE63" i="3"/>
  <c r="AD63" i="3"/>
  <c r="Z63" i="3"/>
  <c r="Y63" i="3"/>
  <c r="AF63" i="3" s="1"/>
  <c r="X63" i="3"/>
  <c r="W63" i="3"/>
  <c r="V63" i="3"/>
  <c r="AC63" i="3" s="1"/>
  <c r="AG54" i="3"/>
  <c r="Z54" i="3"/>
  <c r="Y54" i="3"/>
  <c r="AF54" i="3" s="1"/>
  <c r="X54" i="3"/>
  <c r="AE54" i="3" s="1"/>
  <c r="W54" i="3"/>
  <c r="AD54" i="3" s="1"/>
  <c r="V54" i="3"/>
  <c r="AC54" i="3" s="1"/>
  <c r="AE53" i="3"/>
  <c r="AD53" i="3"/>
  <c r="Z53" i="3"/>
  <c r="AG53" i="3" s="1"/>
  <c r="Y53" i="3"/>
  <c r="AF53" i="3" s="1"/>
  <c r="X53" i="3"/>
  <c r="W53" i="3"/>
  <c r="V53" i="3"/>
  <c r="AC53" i="3" s="1"/>
  <c r="AG52" i="3"/>
  <c r="Z52" i="3"/>
  <c r="Y52" i="3"/>
  <c r="AF52" i="3" s="1"/>
  <c r="X52" i="3"/>
  <c r="AE52" i="3" s="1"/>
  <c r="W52" i="3"/>
  <c r="AD52" i="3" s="1"/>
  <c r="V52" i="3"/>
  <c r="AC52" i="3" s="1"/>
  <c r="AE51" i="3"/>
  <c r="AD51" i="3"/>
  <c r="Z51" i="3"/>
  <c r="AG51" i="3" s="1"/>
  <c r="Y51" i="3"/>
  <c r="AF51" i="3" s="1"/>
  <c r="X51" i="3"/>
  <c r="W51" i="3"/>
  <c r="V51" i="3"/>
  <c r="AC51" i="3" s="1"/>
  <c r="AG50" i="3"/>
  <c r="Z50" i="3"/>
  <c r="Y50" i="3"/>
  <c r="AF50" i="3" s="1"/>
  <c r="X50" i="3"/>
  <c r="AE50" i="3" s="1"/>
  <c r="W50" i="3"/>
  <c r="AD50" i="3" s="1"/>
  <c r="V50" i="3"/>
  <c r="AC50" i="3" s="1"/>
  <c r="AE49" i="3"/>
  <c r="AD49" i="3"/>
  <c r="Z49" i="3"/>
  <c r="AG49" i="3" s="1"/>
  <c r="Y49" i="3"/>
  <c r="AF49" i="3" s="1"/>
  <c r="X49" i="3"/>
  <c r="W49" i="3"/>
  <c r="V49" i="3"/>
  <c r="AC49" i="3" s="1"/>
  <c r="AG48" i="3"/>
  <c r="Z48" i="3"/>
  <c r="Y48" i="3"/>
  <c r="AF48" i="3" s="1"/>
  <c r="X48" i="3"/>
  <c r="AE48" i="3" s="1"/>
  <c r="W48" i="3"/>
  <c r="AD48" i="3" s="1"/>
  <c r="V48" i="3"/>
  <c r="AC48" i="3" s="1"/>
  <c r="AE47" i="3"/>
  <c r="AD47" i="3"/>
  <c r="Z47" i="3"/>
  <c r="AG47" i="3" s="1"/>
  <c r="Y47" i="3"/>
  <c r="AF47" i="3" s="1"/>
  <c r="X47" i="3"/>
  <c r="W47" i="3"/>
  <c r="V47" i="3"/>
  <c r="AC47" i="3" s="1"/>
  <c r="AG46" i="3"/>
  <c r="Z46" i="3"/>
  <c r="Y46" i="3"/>
  <c r="AF46" i="3" s="1"/>
  <c r="X46" i="3"/>
  <c r="AE46" i="3" s="1"/>
  <c r="W46" i="3"/>
  <c r="AD46" i="3" s="1"/>
  <c r="V46" i="3"/>
  <c r="AC46" i="3" s="1"/>
  <c r="L76" i="3"/>
  <c r="K76" i="3"/>
  <c r="J76" i="3"/>
  <c r="I76" i="3"/>
  <c r="H76" i="3"/>
  <c r="J75" i="3"/>
  <c r="K74" i="3"/>
  <c r="J74" i="3"/>
  <c r="I74" i="3"/>
  <c r="I75" i="3" s="1"/>
  <c r="L73" i="3"/>
  <c r="L74" i="3" s="1"/>
  <c r="K73" i="3"/>
  <c r="J73" i="3"/>
  <c r="I73" i="3"/>
  <c r="H73" i="3"/>
  <c r="H74" i="3" s="1"/>
  <c r="H75" i="3" s="1"/>
  <c r="L72" i="3"/>
  <c r="L75" i="3" s="1"/>
  <c r="K72" i="3"/>
  <c r="K75" i="3" s="1"/>
  <c r="J72" i="3"/>
  <c r="I72" i="3"/>
  <c r="H72" i="3"/>
  <c r="L59" i="3"/>
  <c r="K59" i="3"/>
  <c r="J59" i="3"/>
  <c r="I59" i="3"/>
  <c r="H59" i="3"/>
  <c r="L57" i="3"/>
  <c r="J57" i="3"/>
  <c r="H57" i="3"/>
  <c r="L56" i="3"/>
  <c r="K56" i="3"/>
  <c r="K57" i="3" s="1"/>
  <c r="K58" i="3" s="1"/>
  <c r="J56" i="3"/>
  <c r="I56" i="3"/>
  <c r="I57" i="3" s="1"/>
  <c r="I58" i="3" s="1"/>
  <c r="H56" i="3"/>
  <c r="L55" i="3"/>
  <c r="L58" i="3" s="1"/>
  <c r="K55" i="3"/>
  <c r="J55" i="3"/>
  <c r="J58" i="3" s="1"/>
  <c r="I55" i="3"/>
  <c r="H55" i="3"/>
  <c r="H58" i="3" s="1"/>
  <c r="V3" i="3"/>
  <c r="W3" i="3"/>
  <c r="X3" i="3"/>
  <c r="AE3" i="3" s="1"/>
  <c r="AL3" i="3" s="1"/>
  <c r="Y3" i="3"/>
  <c r="Z3" i="3"/>
  <c r="V4" i="3"/>
  <c r="AC4" i="3" s="1"/>
  <c r="AJ4" i="3" s="1"/>
  <c r="W4" i="3"/>
  <c r="X4" i="3"/>
  <c r="Y4" i="3"/>
  <c r="AF4" i="3" s="1"/>
  <c r="AM4" i="3" s="1"/>
  <c r="Z4" i="3"/>
  <c r="V5" i="3"/>
  <c r="W5" i="3"/>
  <c r="AD5" i="3" s="1"/>
  <c r="AK5" i="3" s="1"/>
  <c r="X5" i="3"/>
  <c r="Y5" i="3"/>
  <c r="Z5" i="3"/>
  <c r="AG5" i="3" s="1"/>
  <c r="AN5" i="3" s="1"/>
  <c r="V6" i="3"/>
  <c r="W6" i="3"/>
  <c r="X6" i="3"/>
  <c r="AE6" i="3" s="1"/>
  <c r="AL6" i="3" s="1"/>
  <c r="Y6" i="3"/>
  <c r="Z6" i="3"/>
  <c r="V7" i="3"/>
  <c r="AC7" i="3" s="1"/>
  <c r="AJ7" i="3" s="1"/>
  <c r="W7" i="3"/>
  <c r="X7" i="3"/>
  <c r="Y7" i="3"/>
  <c r="AF7" i="3" s="1"/>
  <c r="AM7" i="3" s="1"/>
  <c r="Z7" i="3"/>
  <c r="V8" i="3"/>
  <c r="W8" i="3"/>
  <c r="AD8" i="3" s="1"/>
  <c r="AK8" i="3" s="1"/>
  <c r="X8" i="3"/>
  <c r="Y8" i="3"/>
  <c r="Z8" i="3"/>
  <c r="AG8" i="3" s="1"/>
  <c r="AN8" i="3" s="1"/>
  <c r="V9" i="3"/>
  <c r="W9" i="3"/>
  <c r="X9" i="3"/>
  <c r="AE9" i="3" s="1"/>
  <c r="AL9" i="3" s="1"/>
  <c r="Y9" i="3"/>
  <c r="Z9" i="3"/>
  <c r="V10" i="3"/>
  <c r="AC10" i="3" s="1"/>
  <c r="AJ10" i="3" s="1"/>
  <c r="W10" i="3"/>
  <c r="X10" i="3"/>
  <c r="Y10" i="3"/>
  <c r="AF10" i="3" s="1"/>
  <c r="AM10" i="3" s="1"/>
  <c r="Z10" i="3"/>
  <c r="Z2" i="3"/>
  <c r="AG2" i="3" s="1"/>
  <c r="AN2" i="3" s="1"/>
  <c r="Y2" i="3"/>
  <c r="AF2" i="3" s="1"/>
  <c r="AM2" i="3" s="1"/>
  <c r="X2" i="3"/>
  <c r="AE2" i="3" s="1"/>
  <c r="AL2" i="3" s="1"/>
  <c r="V2" i="3"/>
  <c r="AC2" i="3" s="1"/>
  <c r="AJ2" i="3" s="1"/>
  <c r="W2" i="3"/>
  <c r="AD2" i="3" s="1"/>
  <c r="AK2" i="3" s="1"/>
  <c r="AM3" i="3"/>
  <c r="AN4" i="3"/>
  <c r="AJ6" i="3"/>
  <c r="AK7" i="3"/>
  <c r="AL8" i="3"/>
  <c r="AM9" i="3"/>
  <c r="AN10" i="3"/>
  <c r="AC3" i="3"/>
  <c r="AJ3" i="3" s="1"/>
  <c r="AD3" i="3"/>
  <c r="AK3" i="3" s="1"/>
  <c r="AF3" i="3"/>
  <c r="AG3" i="3"/>
  <c r="AN3" i="3" s="1"/>
  <c r="AD4" i="3"/>
  <c r="AK4" i="3" s="1"/>
  <c r="AE4" i="3"/>
  <c r="AL4" i="3" s="1"/>
  <c r="AG4" i="3"/>
  <c r="AC5" i="3"/>
  <c r="AJ5" i="3" s="1"/>
  <c r="AE5" i="3"/>
  <c r="AL5" i="3" s="1"/>
  <c r="AF5" i="3"/>
  <c r="AM5" i="3" s="1"/>
  <c r="AC6" i="3"/>
  <c r="AD6" i="3"/>
  <c r="AK6" i="3" s="1"/>
  <c r="AF6" i="3"/>
  <c r="AM6" i="3" s="1"/>
  <c r="AG6" i="3"/>
  <c r="AN6" i="3" s="1"/>
  <c r="AD7" i="3"/>
  <c r="AE7" i="3"/>
  <c r="AL7" i="3" s="1"/>
  <c r="AG7" i="3"/>
  <c r="AN7" i="3" s="1"/>
  <c r="AC8" i="3"/>
  <c r="AJ8" i="3" s="1"/>
  <c r="AE8" i="3"/>
  <c r="AF8" i="3"/>
  <c r="AM8" i="3" s="1"/>
  <c r="AC9" i="3"/>
  <c r="AJ9" i="3" s="1"/>
  <c r="AD9" i="3"/>
  <c r="AK9" i="3" s="1"/>
  <c r="AF9" i="3"/>
  <c r="AG9" i="3"/>
  <c r="AN9" i="3" s="1"/>
  <c r="AD10" i="3"/>
  <c r="AK10" i="3" s="1"/>
  <c r="AE10" i="3"/>
  <c r="AL10" i="3" s="1"/>
  <c r="AG10" i="3"/>
  <c r="I15" i="3"/>
  <c r="J15" i="3"/>
  <c r="K15" i="3"/>
  <c r="L15" i="3"/>
  <c r="H15" i="3"/>
  <c r="I14" i="3"/>
  <c r="J14" i="3"/>
  <c r="K14" i="3"/>
  <c r="L14" i="3"/>
  <c r="I13" i="3"/>
  <c r="J13" i="3"/>
  <c r="K13" i="3"/>
  <c r="L13" i="3"/>
  <c r="H14" i="3"/>
  <c r="H13" i="3"/>
  <c r="I12" i="3"/>
  <c r="J12" i="3"/>
  <c r="K12" i="3"/>
  <c r="L12" i="3"/>
  <c r="H12" i="3"/>
  <c r="I11" i="3"/>
  <c r="J11" i="3"/>
  <c r="K11" i="3"/>
  <c r="L11" i="3"/>
  <c r="H11" i="3"/>
  <c r="F32" i="2"/>
  <c r="G32" i="2" s="1"/>
  <c r="E32" i="2"/>
  <c r="D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" i="2"/>
  <c r="F29" i="2"/>
  <c r="G3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D30" i="2"/>
  <c r="D29" i="2"/>
  <c r="B30" i="2"/>
  <c r="B2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AE3" i="1"/>
  <c r="AF3" i="1"/>
  <c r="AG3" i="1"/>
  <c r="AE4" i="1"/>
  <c r="AF4" i="1"/>
  <c r="AG4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G2" i="1"/>
  <c r="AF2" i="1"/>
  <c r="AA3" i="1"/>
  <c r="AB3" i="1"/>
  <c r="AC3" i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C2" i="1"/>
  <c r="AB2" i="1"/>
  <c r="X2" i="1"/>
  <c r="Y2" i="1"/>
  <c r="W2" i="1"/>
  <c r="T2" i="1"/>
  <c r="U2" i="1"/>
  <c r="S2" i="1"/>
  <c r="K3" i="1"/>
  <c r="L3" i="1"/>
  <c r="M3" i="1"/>
  <c r="Q3" i="1" s="1"/>
  <c r="K4" i="1"/>
  <c r="L4" i="1"/>
  <c r="M4" i="1"/>
  <c r="K5" i="1"/>
  <c r="L5" i="1"/>
  <c r="M5" i="1"/>
  <c r="Q5" i="1" s="1"/>
  <c r="K6" i="1"/>
  <c r="L6" i="1"/>
  <c r="M6" i="1"/>
  <c r="K7" i="1"/>
  <c r="L7" i="1"/>
  <c r="M7" i="1"/>
  <c r="Q7" i="1" s="1"/>
  <c r="K8" i="1"/>
  <c r="L8" i="1"/>
  <c r="M8" i="1"/>
  <c r="K9" i="1"/>
  <c r="L9" i="1"/>
  <c r="M9" i="1"/>
  <c r="Q9" i="1" s="1"/>
  <c r="K10" i="1"/>
  <c r="L10" i="1"/>
  <c r="M10" i="1"/>
  <c r="K11" i="1"/>
  <c r="L11" i="1"/>
  <c r="M11" i="1"/>
  <c r="Q11" i="1" s="1"/>
  <c r="K12" i="1"/>
  <c r="L12" i="1"/>
  <c r="M12" i="1"/>
  <c r="K13" i="1"/>
  <c r="L13" i="1"/>
  <c r="M13" i="1"/>
  <c r="Q13" i="1" s="1"/>
  <c r="K14" i="1"/>
  <c r="L14" i="1"/>
  <c r="M14" i="1"/>
  <c r="K15" i="1"/>
  <c r="L15" i="1"/>
  <c r="M15" i="1"/>
  <c r="Q15" i="1" s="1"/>
  <c r="K16" i="1"/>
  <c r="L16" i="1"/>
  <c r="M16" i="1"/>
  <c r="K17" i="1"/>
  <c r="L17" i="1"/>
  <c r="M17" i="1"/>
  <c r="Q17" i="1" s="1"/>
  <c r="K18" i="1"/>
  <c r="L18" i="1"/>
  <c r="M18" i="1"/>
  <c r="K19" i="1"/>
  <c r="L19" i="1"/>
  <c r="M19" i="1"/>
  <c r="Q19" i="1" s="1"/>
  <c r="K20" i="1"/>
  <c r="L20" i="1"/>
  <c r="M20" i="1"/>
  <c r="K21" i="1"/>
  <c r="L21" i="1"/>
  <c r="M21" i="1"/>
  <c r="Q21" i="1" s="1"/>
  <c r="K22" i="1"/>
  <c r="L22" i="1"/>
  <c r="M22" i="1"/>
  <c r="K23" i="1"/>
  <c r="L23" i="1"/>
  <c r="M23" i="1"/>
  <c r="Q23" i="1" s="1"/>
  <c r="K24" i="1"/>
  <c r="L24" i="1"/>
  <c r="M24" i="1"/>
  <c r="K25" i="1"/>
  <c r="L25" i="1"/>
  <c r="M25" i="1"/>
  <c r="Q25" i="1" s="1"/>
  <c r="K26" i="1"/>
  <c r="L26" i="1"/>
  <c r="M26" i="1"/>
  <c r="K27" i="1"/>
  <c r="L27" i="1"/>
  <c r="M27" i="1"/>
  <c r="Q27" i="1" s="1"/>
  <c r="K28" i="1"/>
  <c r="L28" i="1"/>
  <c r="M28" i="1"/>
  <c r="K29" i="1"/>
  <c r="L29" i="1"/>
  <c r="M29" i="1"/>
  <c r="Q29" i="1" s="1"/>
  <c r="K30" i="1"/>
  <c r="L30" i="1"/>
  <c r="M30" i="1"/>
  <c r="K31" i="1"/>
  <c r="L31" i="1"/>
  <c r="M31" i="1"/>
  <c r="Q31" i="1" s="1"/>
  <c r="K32" i="1"/>
  <c r="L32" i="1"/>
  <c r="M32" i="1"/>
  <c r="K33" i="1"/>
  <c r="L33" i="1"/>
  <c r="M33" i="1"/>
  <c r="Q33" i="1" s="1"/>
  <c r="K34" i="1"/>
  <c r="L34" i="1"/>
  <c r="M34" i="1"/>
  <c r="K35" i="1"/>
  <c r="L35" i="1"/>
  <c r="M35" i="1"/>
  <c r="Q35" i="1" s="1"/>
  <c r="K36" i="1"/>
  <c r="L36" i="1"/>
  <c r="M36" i="1"/>
  <c r="K37" i="1"/>
  <c r="L37" i="1"/>
  <c r="M37" i="1"/>
  <c r="Q37" i="1" s="1"/>
  <c r="K38" i="1"/>
  <c r="L38" i="1"/>
  <c r="M38" i="1"/>
  <c r="M2" i="1"/>
  <c r="L2" i="1"/>
  <c r="O3" i="1"/>
  <c r="P3" i="1"/>
  <c r="O4" i="1"/>
  <c r="P4" i="1"/>
  <c r="Q4" i="1"/>
  <c r="O5" i="1"/>
  <c r="P5" i="1"/>
  <c r="O6" i="1"/>
  <c r="P6" i="1"/>
  <c r="Q6" i="1"/>
  <c r="O7" i="1"/>
  <c r="P7" i="1"/>
  <c r="O8" i="1"/>
  <c r="P8" i="1"/>
  <c r="Q8" i="1"/>
  <c r="O9" i="1"/>
  <c r="P9" i="1"/>
  <c r="O10" i="1"/>
  <c r="P10" i="1"/>
  <c r="Q10" i="1"/>
  <c r="O11" i="1"/>
  <c r="P11" i="1"/>
  <c r="O12" i="1"/>
  <c r="P12" i="1"/>
  <c r="Q12" i="1"/>
  <c r="O13" i="1"/>
  <c r="P13" i="1"/>
  <c r="O14" i="1"/>
  <c r="P14" i="1"/>
  <c r="Q14" i="1"/>
  <c r="O15" i="1"/>
  <c r="P15" i="1"/>
  <c r="O16" i="1"/>
  <c r="P16" i="1"/>
  <c r="Q16" i="1"/>
  <c r="O17" i="1"/>
  <c r="P17" i="1"/>
  <c r="O18" i="1"/>
  <c r="P18" i="1"/>
  <c r="Q18" i="1"/>
  <c r="O19" i="1"/>
  <c r="P19" i="1"/>
  <c r="O20" i="1"/>
  <c r="P20" i="1"/>
  <c r="Q20" i="1"/>
  <c r="O21" i="1"/>
  <c r="P21" i="1"/>
  <c r="O22" i="1"/>
  <c r="P22" i="1"/>
  <c r="Q22" i="1"/>
  <c r="O23" i="1"/>
  <c r="P23" i="1"/>
  <c r="O24" i="1"/>
  <c r="P24" i="1"/>
  <c r="Q24" i="1"/>
  <c r="O25" i="1"/>
  <c r="P25" i="1"/>
  <c r="O26" i="1"/>
  <c r="P26" i="1"/>
  <c r="Q26" i="1"/>
  <c r="O27" i="1"/>
  <c r="P27" i="1"/>
  <c r="O28" i="1"/>
  <c r="P28" i="1"/>
  <c r="Q28" i="1"/>
  <c r="O29" i="1"/>
  <c r="P29" i="1"/>
  <c r="O30" i="1"/>
  <c r="P30" i="1"/>
  <c r="Q30" i="1"/>
  <c r="O31" i="1"/>
  <c r="P31" i="1"/>
  <c r="O32" i="1"/>
  <c r="P32" i="1"/>
  <c r="Q32" i="1"/>
  <c r="O33" i="1"/>
  <c r="P33" i="1"/>
  <c r="O34" i="1"/>
  <c r="P34" i="1"/>
  <c r="Q34" i="1"/>
  <c r="O35" i="1"/>
  <c r="P35" i="1"/>
  <c r="O36" i="1"/>
  <c r="P36" i="1"/>
  <c r="Q36" i="1"/>
  <c r="O37" i="1"/>
  <c r="P37" i="1"/>
  <c r="O38" i="1"/>
  <c r="P38" i="1"/>
  <c r="Q38" i="1"/>
  <c r="P2" i="1"/>
  <c r="Q2" i="1"/>
  <c r="O2" i="1"/>
  <c r="K2" i="1"/>
  <c r="H32" i="2" l="1"/>
  <c r="G26" i="2"/>
  <c r="G20" i="2"/>
  <c r="G14" i="2"/>
  <c r="G8" i="2"/>
  <c r="G25" i="2"/>
  <c r="G19" i="2"/>
  <c r="G13" i="2"/>
  <c r="G7" i="2"/>
  <c r="G24" i="2"/>
  <c r="G18" i="2"/>
  <c r="G12" i="2"/>
  <c r="G6" i="2"/>
  <c r="G2" i="2"/>
  <c r="G23" i="2"/>
  <c r="G17" i="2"/>
  <c r="G11" i="2"/>
  <c r="G5" i="2"/>
  <c r="G28" i="2"/>
  <c r="G22" i="2"/>
  <c r="G16" i="2"/>
  <c r="G10" i="2"/>
  <c r="G4" i="2"/>
  <c r="G27" i="2"/>
  <c r="G21" i="2"/>
  <c r="G15" i="2"/>
  <c r="G9" i="2"/>
  <c r="AE2" i="1"/>
  <c r="AJ36" i="1"/>
  <c r="AO8" i="1" l="1"/>
  <c r="AK18" i="1"/>
  <c r="AN21" i="1"/>
  <c r="AN4" i="1"/>
  <c r="AM33" i="1"/>
  <c r="AM8" i="1"/>
  <c r="AK22" i="1"/>
  <c r="AN17" i="1"/>
  <c r="AM36" i="1"/>
  <c r="AM28" i="1"/>
  <c r="AJ17" i="1"/>
  <c r="AN9" i="1"/>
  <c r="AK23" i="1"/>
  <c r="AM17" i="1"/>
  <c r="AN19" i="1"/>
  <c r="AN13" i="1"/>
  <c r="AJ30" i="1"/>
  <c r="AK11" i="1"/>
  <c r="AM27" i="1"/>
  <c r="AI3" i="1"/>
  <c r="AO21" i="1"/>
  <c r="AM4" i="1"/>
  <c r="AJ18" i="1"/>
  <c r="AI14" i="1"/>
  <c r="AI25" i="1"/>
  <c r="AI13" i="1"/>
  <c r="AO4" i="1"/>
  <c r="AJ26" i="1"/>
  <c r="AJ32" i="1"/>
  <c r="AO26" i="1"/>
  <c r="AN3" i="1"/>
  <c r="AO16" i="1"/>
  <c r="AO22" i="1"/>
  <c r="AN6" i="1"/>
  <c r="AK20" i="1"/>
  <c r="AN35" i="1"/>
  <c r="AN16" i="1"/>
  <c r="AM23" i="1"/>
  <c r="AM11" i="1"/>
  <c r="AO9" i="1"/>
  <c r="AN31" i="1"/>
  <c r="AO31" i="1"/>
  <c r="AO36" i="1"/>
  <c r="AN10" i="1"/>
  <c r="AI8" i="1"/>
  <c r="AJ14" i="1"/>
  <c r="AJ38" i="1"/>
  <c r="AK31" i="1"/>
  <c r="AN22" i="1"/>
  <c r="AN36" i="1"/>
  <c r="AJ10" i="1"/>
  <c r="AN7" i="1"/>
  <c r="AK7" i="1"/>
  <c r="AM30" i="1"/>
  <c r="AA2" i="1"/>
  <c r="AJ5" i="1"/>
  <c r="AK19" i="1"/>
  <c r="AI34" i="1"/>
  <c r="AK24" i="1"/>
  <c r="AN34" i="1"/>
  <c r="AM10" i="1"/>
  <c r="AK38" i="1"/>
  <c r="AN32" i="1"/>
  <c r="AN11" i="1"/>
  <c r="AJ11" i="1"/>
  <c r="AJ28" i="1"/>
  <c r="AN28" i="1"/>
  <c r="AI37" i="1"/>
  <c r="AM37" i="1"/>
  <c r="AI35" i="1"/>
  <c r="AM35" i="1"/>
  <c r="AJ22" i="1"/>
  <c r="AK10" i="1"/>
  <c r="AO10" i="1"/>
  <c r="AJ4" i="1"/>
  <c r="AN33" i="1"/>
  <c r="AJ33" i="1"/>
  <c r="AI21" i="1"/>
  <c r="AM21" i="1"/>
  <c r="AI9" i="1"/>
  <c r="AM9" i="1"/>
  <c r="AK36" i="1"/>
  <c r="AN18" i="1"/>
  <c r="AK32" i="1"/>
  <c r="AO32" i="1"/>
  <c r="AK6" i="1"/>
  <c r="AO6" i="1"/>
  <c r="AO35" i="1"/>
  <c r="AK35" i="1"/>
  <c r="AI31" i="1"/>
  <c r="AM31" i="1"/>
  <c r="AI19" i="1"/>
  <c r="AM19" i="1"/>
  <c r="AI7" i="1"/>
  <c r="AM7" i="1"/>
  <c r="AM12" i="1"/>
  <c r="AI12" i="1"/>
  <c r="AO33" i="1"/>
  <c r="AK33" i="1"/>
  <c r="AO24" i="1"/>
  <c r="AM6" i="1"/>
  <c r="AI6" i="1"/>
  <c r="AO25" i="1"/>
  <c r="AK25" i="1"/>
  <c r="AM14" i="1"/>
  <c r="AK28" i="1"/>
  <c r="AO28" i="1"/>
  <c r="AO13" i="1"/>
  <c r="AK13" i="1"/>
  <c r="AJ16" i="1"/>
  <c r="AK30" i="1"/>
  <c r="AO30" i="1"/>
  <c r="AI23" i="1"/>
  <c r="AK4" i="1"/>
  <c r="AM16" i="1"/>
  <c r="AI16" i="1"/>
  <c r="AO38" i="1"/>
  <c r="AO15" i="1"/>
  <c r="AK15" i="1"/>
  <c r="AJ6" i="1"/>
  <c r="AJ9" i="1"/>
  <c r="AM38" i="1"/>
  <c r="AI38" i="1"/>
  <c r="AI29" i="1"/>
  <c r="AM29" i="1"/>
  <c r="AI5" i="1"/>
  <c r="AM5" i="1"/>
  <c r="AN38" i="1"/>
  <c r="AM24" i="1"/>
  <c r="AI24" i="1"/>
  <c r="AJ8" i="1"/>
  <c r="AN8" i="1"/>
  <c r="AK16" i="1"/>
  <c r="AO3" i="1"/>
  <c r="AK3" i="1"/>
  <c r="AM18" i="1"/>
  <c r="AI18" i="1"/>
  <c r="AK8" i="1"/>
  <c r="AN23" i="1"/>
  <c r="AJ23" i="1"/>
  <c r="AO37" i="1"/>
  <c r="AK37" i="1"/>
  <c r="AM26" i="1"/>
  <c r="AI26" i="1"/>
  <c r="AJ2" i="1"/>
  <c r="AN2" i="1"/>
  <c r="AI15" i="1"/>
  <c r="AM15" i="1"/>
  <c r="AJ19" i="1"/>
  <c r="AJ21" i="1" l="1"/>
  <c r="AI33" i="1"/>
  <c r="AO23" i="1"/>
  <c r="AO7" i="1"/>
  <c r="AO11" i="1"/>
  <c r="AK21" i="1"/>
  <c r="AI4" i="1"/>
  <c r="AM13" i="1"/>
  <c r="AO18" i="1"/>
  <c r="AO20" i="1"/>
  <c r="AN30" i="1"/>
  <c r="AI11" i="1"/>
  <c r="AM25" i="1"/>
  <c r="AI36" i="1"/>
  <c r="AM3" i="1"/>
  <c r="AJ31" i="1"/>
  <c r="AI28" i="1"/>
  <c r="AI27" i="1"/>
  <c r="AN26" i="1"/>
  <c r="AJ3" i="1"/>
  <c r="AI17" i="1"/>
  <c r="AJ13" i="1"/>
  <c r="AN14" i="1"/>
  <c r="AN27" i="1"/>
  <c r="AJ27" i="1"/>
  <c r="AN37" i="1"/>
  <c r="AJ37" i="1"/>
  <c r="AK9" i="1"/>
  <c r="AM32" i="1"/>
  <c r="AI32" i="1"/>
  <c r="AM22" i="1"/>
  <c r="AI22" i="1"/>
  <c r="AJ35" i="1"/>
  <c r="AI10" i="1"/>
  <c r="AN15" i="1"/>
  <c r="AJ15" i="1"/>
  <c r="AO19" i="1"/>
  <c r="AK26" i="1"/>
  <c r="AO27" i="1"/>
  <c r="AK27" i="1"/>
  <c r="AO17" i="1"/>
  <c r="AK17" i="1"/>
  <c r="AO12" i="1"/>
  <c r="AK12" i="1"/>
  <c r="AN25" i="1"/>
  <c r="AJ25" i="1"/>
  <c r="AJ24" i="1"/>
  <c r="AN24" i="1"/>
  <c r="AI30" i="1"/>
  <c r="AO5" i="1"/>
  <c r="AK5" i="1"/>
  <c r="AJ12" i="1"/>
  <c r="AN12" i="1"/>
  <c r="AJ20" i="1"/>
  <c r="AN20" i="1"/>
  <c r="AO2" i="1"/>
  <c r="AK2" i="1"/>
  <c r="AK14" i="1"/>
  <c r="AO14" i="1"/>
  <c r="AJ34" i="1"/>
  <c r="AM2" i="1"/>
  <c r="AI2" i="1"/>
  <c r="AJ7" i="1"/>
  <c r="AI20" i="1"/>
  <c r="AM20" i="1"/>
  <c r="AM34" i="1"/>
  <c r="AN29" i="1"/>
  <c r="AJ29" i="1"/>
  <c r="AK34" i="1"/>
  <c r="AO34" i="1"/>
  <c r="AO29" i="1"/>
  <c r="AK29" i="1"/>
  <c r="AN5" i="1"/>
</calcChain>
</file>

<file path=xl/sharedStrings.xml><?xml version="1.0" encoding="utf-8"?>
<sst xmlns="http://schemas.openxmlformats.org/spreadsheetml/2006/main" count="181" uniqueCount="46">
  <si>
    <t>water_year</t>
  </si>
  <si>
    <t>annual_max_cms</t>
  </si>
  <si>
    <t>annual_min_cms</t>
  </si>
  <si>
    <t>annual_avg_cms</t>
  </si>
  <si>
    <t>1. Rank the data in ascending order</t>
  </si>
  <si>
    <t>2. Compute the probability of non-exceedence Fi</t>
  </si>
  <si>
    <t>rank</t>
  </si>
  <si>
    <t>a=0.44</t>
  </si>
  <si>
    <t>n=37</t>
  </si>
  <si>
    <t>3. Convert the probability of non-exceedence to standardized variate, yi</t>
  </si>
  <si>
    <t>4-2. Compute c by mean</t>
  </si>
  <si>
    <t>4-1. Compute a by sigma (a = root ( 6 sig2 / pi2))</t>
  </si>
  <si>
    <t>Fi</t>
  </si>
  <si>
    <t>yi</t>
  </si>
  <si>
    <t>a</t>
  </si>
  <si>
    <t>5. Xet - Est timates the quantiles (ay+c)</t>
  </si>
  <si>
    <t>6. Var Xest - Determine the variability of the quantile estimates</t>
  </si>
  <si>
    <t>UCL</t>
  </si>
  <si>
    <t>LCL</t>
  </si>
  <si>
    <t>Sorted</t>
  </si>
  <si>
    <t>Rank</t>
  </si>
  <si>
    <t>Yi</t>
  </si>
  <si>
    <t>Xest</t>
  </si>
  <si>
    <t>VarXest</t>
  </si>
  <si>
    <t>c</t>
  </si>
  <si>
    <t>u</t>
  </si>
  <si>
    <t>sig</t>
  </si>
  <si>
    <t>t</t>
  </si>
  <si>
    <t>Qsorted</t>
  </si>
  <si>
    <t>WaterYear</t>
  </si>
  <si>
    <t>sim1</t>
  </si>
  <si>
    <t>sim2</t>
  </si>
  <si>
    <t>sim3</t>
  </si>
  <si>
    <t>sim4</t>
  </si>
  <si>
    <t>sim5</t>
  </si>
  <si>
    <t>std</t>
  </si>
  <si>
    <t>sim8776</t>
  </si>
  <si>
    <t>sim8777</t>
  </si>
  <si>
    <t>sim8778</t>
  </si>
  <si>
    <t>sim8779</t>
  </si>
  <si>
    <t>sim8780</t>
  </si>
  <si>
    <t>sim16376</t>
  </si>
  <si>
    <t>sim16377</t>
  </si>
  <si>
    <t>sim16378</t>
  </si>
  <si>
    <t>sim16379</t>
  </si>
  <si>
    <t>sim16380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</si>
</sst>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</a:t>
            </a:r>
            <a:r>
              <a:rPr lang="en-US" baseline="0"/>
              <a:t> Gumbel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5F-4588-9153-05E1EB692AA4}"/>
            </c:ext>
          </c:extLst>
        </c:ser>
        <c:ser>
          <c:idx val="1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5F-4588-9153-05E1EB692AA4}"/>
            </c:ext>
          </c:extLst>
        </c:ser>
        <c:ser>
          <c:idx val="2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5F-4588-9153-05E1EB692AA4}"/>
            </c:ext>
          </c:extLst>
        </c:ser>
        <c:ser>
          <c:idx val="3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5F-4588-9153-05E1EB69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106208"/>
        <c:axId val="1600103808"/>
      </c:scatterChart>
      <c:valAx>
        <c:axId val="16001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03808"/>
        <c:crosses val="autoZero"/>
        <c:crossBetween val="midCat"/>
      </c:valAx>
      <c:valAx>
        <c:axId val="16001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0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ObsMax!$U$16:$U$24</c:f>
              <c:numCache>
                <c:formatCode>General</c:formatCode>
                <c:ptCount val="9"/>
                <c:pt idx="0">
                  <c:v>73.34</c:v>
                </c:pt>
                <c:pt idx="1">
                  <c:v>82.19</c:v>
                </c:pt>
                <c:pt idx="2">
                  <c:v>116.9</c:v>
                </c:pt>
                <c:pt idx="3">
                  <c:v>195.6</c:v>
                </c:pt>
                <c:pt idx="4">
                  <c:v>256</c:v>
                </c:pt>
                <c:pt idx="5">
                  <c:v>258.3</c:v>
                </c:pt>
                <c:pt idx="6">
                  <c:v>260.5</c:v>
                </c:pt>
                <c:pt idx="7">
                  <c:v>268.7</c:v>
                </c:pt>
                <c:pt idx="8">
                  <c:v>309.8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9-45C4-A141-91867C9A0501}"/>
            </c:ext>
          </c:extLst>
        </c:ser>
        <c:ser>
          <c:idx val="1"/>
          <c:order val="1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ObsMax!$V$16:$V$24</c:f>
              <c:numCache>
                <c:formatCode>General</c:formatCode>
                <c:ptCount val="9"/>
                <c:pt idx="0">
                  <c:v>152.80000000000001</c:v>
                </c:pt>
                <c:pt idx="1">
                  <c:v>184.4</c:v>
                </c:pt>
                <c:pt idx="2">
                  <c:v>294.10000000000002</c:v>
                </c:pt>
                <c:pt idx="3">
                  <c:v>352.9</c:v>
                </c:pt>
                <c:pt idx="4">
                  <c:v>361</c:v>
                </c:pt>
                <c:pt idx="5">
                  <c:v>396.8</c:v>
                </c:pt>
                <c:pt idx="6">
                  <c:v>417</c:v>
                </c:pt>
                <c:pt idx="7">
                  <c:v>430</c:v>
                </c:pt>
                <c:pt idx="8">
                  <c:v>527.29999999999995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29-45C4-A141-91867C9A0501}"/>
            </c:ext>
          </c:extLst>
        </c:ser>
        <c:ser>
          <c:idx val="2"/>
          <c:order val="2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ObsMax!$W$16:$W$24</c:f>
              <c:numCache>
                <c:formatCode>General</c:formatCode>
                <c:ptCount val="9"/>
                <c:pt idx="0">
                  <c:v>193.9</c:v>
                </c:pt>
                <c:pt idx="1">
                  <c:v>195.7</c:v>
                </c:pt>
                <c:pt idx="2">
                  <c:v>324.3</c:v>
                </c:pt>
                <c:pt idx="3">
                  <c:v>427.5</c:v>
                </c:pt>
                <c:pt idx="4">
                  <c:v>437.1</c:v>
                </c:pt>
                <c:pt idx="5">
                  <c:v>479.5</c:v>
                </c:pt>
                <c:pt idx="6">
                  <c:v>504.2</c:v>
                </c:pt>
                <c:pt idx="7">
                  <c:v>562.6</c:v>
                </c:pt>
                <c:pt idx="8">
                  <c:v>581.4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29-45C4-A141-91867C9A0501}"/>
            </c:ext>
          </c:extLst>
        </c:ser>
        <c:ser>
          <c:idx val="3"/>
          <c:order val="3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ObsMax!$X$16:$X$24</c:f>
              <c:numCache>
                <c:formatCode>General</c:formatCode>
                <c:ptCount val="9"/>
                <c:pt idx="0">
                  <c:v>237</c:v>
                </c:pt>
                <c:pt idx="1">
                  <c:v>281.7</c:v>
                </c:pt>
                <c:pt idx="2">
                  <c:v>487.8</c:v>
                </c:pt>
                <c:pt idx="3">
                  <c:v>461.7</c:v>
                </c:pt>
                <c:pt idx="4">
                  <c:v>559.29999999999995</c:v>
                </c:pt>
                <c:pt idx="5">
                  <c:v>494.9</c:v>
                </c:pt>
                <c:pt idx="6">
                  <c:v>428.5</c:v>
                </c:pt>
                <c:pt idx="7">
                  <c:v>560.79999999999995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29-45C4-A141-91867C9A0501}"/>
            </c:ext>
          </c:extLst>
        </c:ser>
        <c:ser>
          <c:idx val="4"/>
          <c:order val="4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ObsMax!$Y$16:$Y$24</c:f>
              <c:numCache>
                <c:formatCode>General</c:formatCode>
                <c:ptCount val="9"/>
                <c:pt idx="0">
                  <c:v>99.88</c:v>
                </c:pt>
                <c:pt idx="1">
                  <c:v>113.7</c:v>
                </c:pt>
                <c:pt idx="2">
                  <c:v>192.4</c:v>
                </c:pt>
                <c:pt idx="3">
                  <c:v>290.8</c:v>
                </c:pt>
                <c:pt idx="4">
                  <c:v>290.2</c:v>
                </c:pt>
                <c:pt idx="5">
                  <c:v>290.89999999999998</c:v>
                </c:pt>
                <c:pt idx="6">
                  <c:v>335.2</c:v>
                </c:pt>
                <c:pt idx="7">
                  <c:v>309.5</c:v>
                </c:pt>
                <c:pt idx="8">
                  <c:v>275.89999999999998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29-45C4-A141-91867C9A0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ObsMax!$U$16:$U$24</c:f>
              <c:numCache>
                <c:formatCode>General</c:formatCode>
                <c:ptCount val="9"/>
                <c:pt idx="0">
                  <c:v>73.34</c:v>
                </c:pt>
                <c:pt idx="1">
                  <c:v>82.19</c:v>
                </c:pt>
                <c:pt idx="2">
                  <c:v>116.9</c:v>
                </c:pt>
                <c:pt idx="3">
                  <c:v>195.6</c:v>
                </c:pt>
                <c:pt idx="4">
                  <c:v>256</c:v>
                </c:pt>
                <c:pt idx="5">
                  <c:v>258.3</c:v>
                </c:pt>
                <c:pt idx="6">
                  <c:v>260.5</c:v>
                </c:pt>
                <c:pt idx="7">
                  <c:v>268.7</c:v>
                </c:pt>
                <c:pt idx="8">
                  <c:v>309.8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60-4738-BDBF-D711D3CD789A}"/>
            </c:ext>
          </c:extLst>
        </c:ser>
        <c:ser>
          <c:idx val="1"/>
          <c:order val="5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ObsMax!$V$16:$V$24</c:f>
              <c:numCache>
                <c:formatCode>General</c:formatCode>
                <c:ptCount val="9"/>
                <c:pt idx="0">
                  <c:v>152.80000000000001</c:v>
                </c:pt>
                <c:pt idx="1">
                  <c:v>184.4</c:v>
                </c:pt>
                <c:pt idx="2">
                  <c:v>294.10000000000002</c:v>
                </c:pt>
                <c:pt idx="3">
                  <c:v>352.9</c:v>
                </c:pt>
                <c:pt idx="4">
                  <c:v>361</c:v>
                </c:pt>
                <c:pt idx="5">
                  <c:v>396.8</c:v>
                </c:pt>
                <c:pt idx="6">
                  <c:v>417</c:v>
                </c:pt>
                <c:pt idx="7">
                  <c:v>430</c:v>
                </c:pt>
                <c:pt idx="8">
                  <c:v>527.29999999999995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F60-4738-BDBF-D711D3CD789A}"/>
            </c:ext>
          </c:extLst>
        </c:ser>
        <c:ser>
          <c:idx val="2"/>
          <c:order val="6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ObsMax!$W$16:$W$24</c:f>
              <c:numCache>
                <c:formatCode>General</c:formatCode>
                <c:ptCount val="9"/>
                <c:pt idx="0">
                  <c:v>193.9</c:v>
                </c:pt>
                <c:pt idx="1">
                  <c:v>195.7</c:v>
                </c:pt>
                <c:pt idx="2">
                  <c:v>324.3</c:v>
                </c:pt>
                <c:pt idx="3">
                  <c:v>427.5</c:v>
                </c:pt>
                <c:pt idx="4">
                  <c:v>437.1</c:v>
                </c:pt>
                <c:pt idx="5">
                  <c:v>479.5</c:v>
                </c:pt>
                <c:pt idx="6">
                  <c:v>504.2</c:v>
                </c:pt>
                <c:pt idx="7">
                  <c:v>562.6</c:v>
                </c:pt>
                <c:pt idx="8">
                  <c:v>581.4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F60-4738-BDBF-D711D3CD789A}"/>
            </c:ext>
          </c:extLst>
        </c:ser>
        <c:ser>
          <c:idx val="3"/>
          <c:order val="7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ObsMax!$X$16:$X$24</c:f>
              <c:numCache>
                <c:formatCode>General</c:formatCode>
                <c:ptCount val="9"/>
                <c:pt idx="0">
                  <c:v>237</c:v>
                </c:pt>
                <c:pt idx="1">
                  <c:v>281.7</c:v>
                </c:pt>
                <c:pt idx="2">
                  <c:v>487.8</c:v>
                </c:pt>
                <c:pt idx="3">
                  <c:v>461.7</c:v>
                </c:pt>
                <c:pt idx="4">
                  <c:v>559.29999999999995</c:v>
                </c:pt>
                <c:pt idx="5">
                  <c:v>494.9</c:v>
                </c:pt>
                <c:pt idx="6">
                  <c:v>428.5</c:v>
                </c:pt>
                <c:pt idx="7">
                  <c:v>560.79999999999995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F60-4738-BDBF-D711D3CD789A}"/>
            </c:ext>
          </c:extLst>
        </c:ser>
        <c:ser>
          <c:idx val="4"/>
          <c:order val="8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ObsMax!$Y$16:$Y$24</c:f>
              <c:numCache>
                <c:formatCode>General</c:formatCode>
                <c:ptCount val="9"/>
                <c:pt idx="0">
                  <c:v>99.88</c:v>
                </c:pt>
                <c:pt idx="1">
                  <c:v>113.7</c:v>
                </c:pt>
                <c:pt idx="2">
                  <c:v>192.4</c:v>
                </c:pt>
                <c:pt idx="3">
                  <c:v>290.8</c:v>
                </c:pt>
                <c:pt idx="4">
                  <c:v>290.2</c:v>
                </c:pt>
                <c:pt idx="5">
                  <c:v>290.89999999999998</c:v>
                </c:pt>
                <c:pt idx="6">
                  <c:v>335.2</c:v>
                </c:pt>
                <c:pt idx="7">
                  <c:v>309.5</c:v>
                </c:pt>
                <c:pt idx="8">
                  <c:v>275.89999999999998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F60-4738-BDBF-D711D3CD7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F60-4738-BDBF-D711D3CD789A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F60-4738-BDBF-D711D3CD789A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F60-4738-BDBF-D711D3CD789A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F60-4738-BDBF-D711D3CD7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ObsMax!$AA$16:$AA$24</c:f>
              <c:numCache>
                <c:formatCode>General</c:formatCode>
                <c:ptCount val="9"/>
                <c:pt idx="0">
                  <c:v>90.759120921374375</c:v>
                </c:pt>
                <c:pt idx="1">
                  <c:v>122.60976864688527</c:v>
                </c:pt>
                <c:pt idx="2">
                  <c:v>145.52675514371282</c:v>
                </c:pt>
                <c:pt idx="3">
                  <c:v>166.44509545993478</c:v>
                </c:pt>
                <c:pt idx="4">
                  <c:v>187.70380447438686</c:v>
                </c:pt>
                <c:pt idx="5">
                  <c:v>211.15889295173582</c:v>
                </c:pt>
                <c:pt idx="6">
                  <c:v>239.47573493001408</c:v>
                </c:pt>
                <c:pt idx="7">
                  <c:v>278.68140051187714</c:v>
                </c:pt>
                <c:pt idx="8">
                  <c:v>354.2319182084708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F-4A04-9AAA-26DB9C3ECB61}"/>
            </c:ext>
          </c:extLst>
        </c:ser>
        <c:ser>
          <c:idx val="1"/>
          <c:order val="1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ObsMax!$AB$16:$AB$24</c:f>
              <c:numCache>
                <c:formatCode>General</c:formatCode>
                <c:ptCount val="9"/>
                <c:pt idx="0">
                  <c:v>197.05444554683149</c:v>
                </c:pt>
                <c:pt idx="1">
                  <c:v>239.63230206380561</c:v>
                </c:pt>
                <c:pt idx="2">
                  <c:v>270.26766531520417</c:v>
                </c:pt>
                <c:pt idx="3">
                  <c:v>298.2312439599159</c:v>
                </c:pt>
                <c:pt idx="4">
                  <c:v>326.64982652545854</c:v>
                </c:pt>
                <c:pt idx="5">
                  <c:v>358.0045229946802</c:v>
                </c:pt>
                <c:pt idx="6">
                  <c:v>395.85839790345557</c:v>
                </c:pt>
                <c:pt idx="7">
                  <c:v>448.26842165502939</c:v>
                </c:pt>
                <c:pt idx="8">
                  <c:v>549.26414174182014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9F-4A04-9AAA-26DB9C3ECB61}"/>
            </c:ext>
          </c:extLst>
        </c:ser>
        <c:ser>
          <c:idx val="2"/>
          <c:order val="2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ObsMax!$AC$16:$AC$24</c:f>
              <c:numCache>
                <c:formatCode>General</c:formatCode>
                <c:ptCount val="9"/>
                <c:pt idx="0">
                  <c:v>230.99169596186886</c:v>
                </c:pt>
                <c:pt idx="1">
                  <c:v>282.58936856606618</c:v>
                </c:pt>
                <c:pt idx="2">
                  <c:v>319.71461564199996</c:v>
                </c:pt>
                <c:pt idx="3">
                  <c:v>353.60207954418934</c:v>
                </c:pt>
                <c:pt idx="4">
                  <c:v>388.04093671182653</c:v>
                </c:pt>
                <c:pt idx="5">
                  <c:v>426.03790263184447</c:v>
                </c:pt>
                <c:pt idx="6">
                  <c:v>471.91085172134552</c:v>
                </c:pt>
                <c:pt idx="7">
                  <c:v>535.4235662619152</c:v>
                </c:pt>
                <c:pt idx="8">
                  <c:v>657.81451136235512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9F-4A04-9AAA-26DB9C3ECB61}"/>
            </c:ext>
          </c:extLst>
        </c:ser>
        <c:ser>
          <c:idx val="3"/>
          <c:order val="3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ObsMax!$AD$16:$AD$24</c:f>
              <c:numCache>
                <c:formatCode>General</c:formatCode>
                <c:ptCount val="9"/>
                <c:pt idx="0">
                  <c:v>290.63052213203332</c:v>
                </c:pt>
                <c:pt idx="1">
                  <c:v>341.16757910396996</c:v>
                </c:pt>
                <c:pt idx="2">
                  <c:v>377.52969839888289</c:v>
                </c:pt>
                <c:pt idx="3">
                  <c:v>410.72058875156284</c:v>
                </c:pt>
                <c:pt idx="4">
                  <c:v>444.45153820891659</c:v>
                </c:pt>
                <c:pt idx="5">
                  <c:v>481.6674577367379</c:v>
                </c:pt>
                <c:pt idx="6">
                  <c:v>526.59746571190908</c:v>
                </c:pt>
                <c:pt idx="7">
                  <c:v>588.80464505119608</c:v>
                </c:pt>
                <c:pt idx="8">
                  <c:v>708.67978385516869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9F-4A04-9AAA-26DB9C3ECB61}"/>
            </c:ext>
          </c:extLst>
        </c:ser>
        <c:ser>
          <c:idx val="4"/>
          <c:order val="4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ObsMax!$AE$16:$AE$24</c:f>
              <c:numCache>
                <c:formatCode>General</c:formatCode>
                <c:ptCount val="9"/>
                <c:pt idx="0">
                  <c:v>135.50756050498956</c:v>
                </c:pt>
                <c:pt idx="1">
                  <c:v>166.54692801794678</c:v>
                </c:pt>
                <c:pt idx="2">
                  <c:v>188.88018705540014</c:v>
                </c:pt>
                <c:pt idx="3">
                  <c:v>209.26570820498324</c:v>
                </c:pt>
                <c:pt idx="4">
                  <c:v>229.98292838955362</c:v>
                </c:pt>
                <c:pt idx="5">
                  <c:v>252.84058320309276</c:v>
                </c:pt>
                <c:pt idx="6">
                  <c:v>280.43615590681918</c:v>
                </c:pt>
                <c:pt idx="7">
                  <c:v>318.64319876111097</c:v>
                </c:pt>
                <c:pt idx="8">
                  <c:v>392.26933989294366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9F-4A04-9AAA-26DB9C3EC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Xest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ObsMax!$AA$16:$AA$24</c:f>
              <c:numCache>
                <c:formatCode>General</c:formatCode>
                <c:ptCount val="9"/>
                <c:pt idx="0">
                  <c:v>90.759120921374375</c:v>
                </c:pt>
                <c:pt idx="1">
                  <c:v>122.60976864688527</c:v>
                </c:pt>
                <c:pt idx="2">
                  <c:v>145.52675514371282</c:v>
                </c:pt>
                <c:pt idx="3">
                  <c:v>166.44509545993478</c:v>
                </c:pt>
                <c:pt idx="4">
                  <c:v>187.70380447438686</c:v>
                </c:pt>
                <c:pt idx="5">
                  <c:v>211.15889295173582</c:v>
                </c:pt>
                <c:pt idx="6">
                  <c:v>239.47573493001408</c:v>
                </c:pt>
                <c:pt idx="7">
                  <c:v>278.68140051187714</c:v>
                </c:pt>
                <c:pt idx="8">
                  <c:v>354.2319182084708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41-4628-844A-35E6FB7F3ADB}"/>
            </c:ext>
          </c:extLst>
        </c:ser>
        <c:ser>
          <c:idx val="1"/>
          <c:order val="5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ObsMax!$AB$16:$AB$24</c:f>
              <c:numCache>
                <c:formatCode>General</c:formatCode>
                <c:ptCount val="9"/>
                <c:pt idx="0">
                  <c:v>197.05444554683149</c:v>
                </c:pt>
                <c:pt idx="1">
                  <c:v>239.63230206380561</c:v>
                </c:pt>
                <c:pt idx="2">
                  <c:v>270.26766531520417</c:v>
                </c:pt>
                <c:pt idx="3">
                  <c:v>298.2312439599159</c:v>
                </c:pt>
                <c:pt idx="4">
                  <c:v>326.64982652545854</c:v>
                </c:pt>
                <c:pt idx="5">
                  <c:v>358.0045229946802</c:v>
                </c:pt>
                <c:pt idx="6">
                  <c:v>395.85839790345557</c:v>
                </c:pt>
                <c:pt idx="7">
                  <c:v>448.26842165502939</c:v>
                </c:pt>
                <c:pt idx="8">
                  <c:v>549.26414174182014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41-4628-844A-35E6FB7F3ADB}"/>
            </c:ext>
          </c:extLst>
        </c:ser>
        <c:ser>
          <c:idx val="2"/>
          <c:order val="6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ObsMax!$AC$16:$AC$24</c:f>
              <c:numCache>
                <c:formatCode>General</c:formatCode>
                <c:ptCount val="9"/>
                <c:pt idx="0">
                  <c:v>230.99169596186886</c:v>
                </c:pt>
                <c:pt idx="1">
                  <c:v>282.58936856606618</c:v>
                </c:pt>
                <c:pt idx="2">
                  <c:v>319.71461564199996</c:v>
                </c:pt>
                <c:pt idx="3">
                  <c:v>353.60207954418934</c:v>
                </c:pt>
                <c:pt idx="4">
                  <c:v>388.04093671182653</c:v>
                </c:pt>
                <c:pt idx="5">
                  <c:v>426.03790263184447</c:v>
                </c:pt>
                <c:pt idx="6">
                  <c:v>471.91085172134552</c:v>
                </c:pt>
                <c:pt idx="7">
                  <c:v>535.4235662619152</c:v>
                </c:pt>
                <c:pt idx="8">
                  <c:v>657.81451136235512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41-4628-844A-35E6FB7F3ADB}"/>
            </c:ext>
          </c:extLst>
        </c:ser>
        <c:ser>
          <c:idx val="3"/>
          <c:order val="7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ObsMax!$AD$16:$AD$24</c:f>
              <c:numCache>
                <c:formatCode>General</c:formatCode>
                <c:ptCount val="9"/>
                <c:pt idx="0">
                  <c:v>290.63052213203332</c:v>
                </c:pt>
                <c:pt idx="1">
                  <c:v>341.16757910396996</c:v>
                </c:pt>
                <c:pt idx="2">
                  <c:v>377.52969839888289</c:v>
                </c:pt>
                <c:pt idx="3">
                  <c:v>410.72058875156284</c:v>
                </c:pt>
                <c:pt idx="4">
                  <c:v>444.45153820891659</c:v>
                </c:pt>
                <c:pt idx="5">
                  <c:v>481.6674577367379</c:v>
                </c:pt>
                <c:pt idx="6">
                  <c:v>526.59746571190908</c:v>
                </c:pt>
                <c:pt idx="7">
                  <c:v>588.80464505119608</c:v>
                </c:pt>
                <c:pt idx="8">
                  <c:v>708.67978385516869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41-4628-844A-35E6FB7F3ADB}"/>
            </c:ext>
          </c:extLst>
        </c:ser>
        <c:ser>
          <c:idx val="4"/>
          <c:order val="8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ObsMax!$AE$16:$AE$24</c:f>
              <c:numCache>
                <c:formatCode>General</c:formatCode>
                <c:ptCount val="9"/>
                <c:pt idx="0">
                  <c:v>135.50756050498956</c:v>
                </c:pt>
                <c:pt idx="1">
                  <c:v>166.54692801794678</c:v>
                </c:pt>
                <c:pt idx="2">
                  <c:v>188.88018705540014</c:v>
                </c:pt>
                <c:pt idx="3">
                  <c:v>209.26570820498324</c:v>
                </c:pt>
                <c:pt idx="4">
                  <c:v>229.98292838955362</c:v>
                </c:pt>
                <c:pt idx="5">
                  <c:v>252.84058320309276</c:v>
                </c:pt>
                <c:pt idx="6">
                  <c:v>280.43615590681918</c:v>
                </c:pt>
                <c:pt idx="7">
                  <c:v>318.64319876111097</c:v>
                </c:pt>
                <c:pt idx="8">
                  <c:v>392.26933989294366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841-4628-844A-35E6FB7F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pPr>
              <a:ln w="12700"/>
            </c:spPr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841-4628-844A-35E6FB7F3ADB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41-4628-844A-35E6FB7F3ADB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841-4628-844A-35E6FB7F3ADB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841-4628-844A-35E6FB7F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ObsMax!$O$45</c:f>
              <c:strCache>
                <c:ptCount val="1"/>
                <c:pt idx="0">
                  <c:v>sim8776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ObsMax!$AC$46:$AC$54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ObsMax!$O$46:$O$54</c:f>
              <c:numCache>
                <c:formatCode>General</c:formatCode>
                <c:ptCount val="9"/>
                <c:pt idx="0">
                  <c:v>135.9</c:v>
                </c:pt>
                <c:pt idx="1">
                  <c:v>188</c:v>
                </c:pt>
                <c:pt idx="2">
                  <c:v>245.2</c:v>
                </c:pt>
                <c:pt idx="3">
                  <c:v>324.7</c:v>
                </c:pt>
                <c:pt idx="4">
                  <c:v>328.9</c:v>
                </c:pt>
                <c:pt idx="5">
                  <c:v>354.9</c:v>
                </c:pt>
                <c:pt idx="6">
                  <c:v>367.3</c:v>
                </c:pt>
                <c:pt idx="7">
                  <c:v>382.8</c:v>
                </c:pt>
                <c:pt idx="8">
                  <c:v>486.5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A-470A-ABAE-8906FC4999AF}"/>
            </c:ext>
          </c:extLst>
        </c:ser>
        <c:ser>
          <c:idx val="1"/>
          <c:order val="1"/>
          <c:tx>
            <c:strRef>
              <c:f>ObsMax!$P$45</c:f>
              <c:strCache>
                <c:ptCount val="1"/>
                <c:pt idx="0">
                  <c:v>sim8777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ObsMax!$AD$46:$AD$54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ObsMax!$P$46:$P$54</c:f>
              <c:numCache>
                <c:formatCode>General</c:formatCode>
                <c:ptCount val="9"/>
                <c:pt idx="0">
                  <c:v>183.8</c:v>
                </c:pt>
                <c:pt idx="1">
                  <c:v>213.7</c:v>
                </c:pt>
                <c:pt idx="2">
                  <c:v>590.4</c:v>
                </c:pt>
                <c:pt idx="3">
                  <c:v>445</c:v>
                </c:pt>
                <c:pt idx="4">
                  <c:v>487.1</c:v>
                </c:pt>
                <c:pt idx="5">
                  <c:v>320.2</c:v>
                </c:pt>
                <c:pt idx="6">
                  <c:v>570.9</c:v>
                </c:pt>
                <c:pt idx="7">
                  <c:v>434.8</c:v>
                </c:pt>
                <c:pt idx="8">
                  <c:v>648.79999999999995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A-470A-ABAE-8906FC4999AF}"/>
            </c:ext>
          </c:extLst>
        </c:ser>
        <c:ser>
          <c:idx val="2"/>
          <c:order val="2"/>
          <c:tx>
            <c:strRef>
              <c:f>ObsMax!$Q$45</c:f>
              <c:strCache>
                <c:ptCount val="1"/>
                <c:pt idx="0">
                  <c:v>sim8778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ObsMax!$AE$46:$AE$54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ObsMax!$Q$46:$Q$54</c:f>
              <c:numCache>
                <c:formatCode>General</c:formatCode>
                <c:ptCount val="9"/>
                <c:pt idx="0">
                  <c:v>359.6</c:v>
                </c:pt>
                <c:pt idx="1">
                  <c:v>399.9</c:v>
                </c:pt>
                <c:pt idx="2">
                  <c:v>623.5</c:v>
                </c:pt>
                <c:pt idx="3">
                  <c:v>613.4</c:v>
                </c:pt>
                <c:pt idx="4">
                  <c:v>581</c:v>
                </c:pt>
                <c:pt idx="5">
                  <c:v>661.6</c:v>
                </c:pt>
                <c:pt idx="6">
                  <c:v>671.8</c:v>
                </c:pt>
                <c:pt idx="7">
                  <c:v>737.1</c:v>
                </c:pt>
                <c:pt idx="8">
                  <c:v>846.5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4A-470A-ABAE-8906FC4999AF}"/>
            </c:ext>
          </c:extLst>
        </c:ser>
        <c:ser>
          <c:idx val="3"/>
          <c:order val="3"/>
          <c:tx>
            <c:strRef>
              <c:f>ObsMax!$R$45</c:f>
              <c:strCache>
                <c:ptCount val="1"/>
                <c:pt idx="0">
                  <c:v>sim8779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ObsMax!$AF$46:$AF$54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ObsMax!$R$46:$R$54</c:f>
              <c:numCache>
                <c:formatCode>General</c:formatCode>
                <c:ptCount val="9"/>
                <c:pt idx="0">
                  <c:v>152.9</c:v>
                </c:pt>
                <c:pt idx="1">
                  <c:v>167.5</c:v>
                </c:pt>
                <c:pt idx="2">
                  <c:v>265.8</c:v>
                </c:pt>
                <c:pt idx="3">
                  <c:v>349.9</c:v>
                </c:pt>
                <c:pt idx="4">
                  <c:v>296.60000000000002</c:v>
                </c:pt>
                <c:pt idx="5">
                  <c:v>242.1</c:v>
                </c:pt>
                <c:pt idx="6">
                  <c:v>268.7</c:v>
                </c:pt>
                <c:pt idx="7">
                  <c:v>308.2</c:v>
                </c:pt>
                <c:pt idx="8">
                  <c:v>221.7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4A-470A-ABAE-8906FC4999AF}"/>
            </c:ext>
          </c:extLst>
        </c:ser>
        <c:ser>
          <c:idx val="4"/>
          <c:order val="4"/>
          <c:tx>
            <c:strRef>
              <c:f>ObsMax!$S$45</c:f>
              <c:strCache>
                <c:ptCount val="1"/>
                <c:pt idx="0">
                  <c:v>sim8780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ObsMax!$AG$46:$AG$54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ObsMax!$S$46:$S$54</c:f>
              <c:numCache>
                <c:formatCode>General</c:formatCode>
                <c:ptCount val="9"/>
                <c:pt idx="0">
                  <c:v>343.8</c:v>
                </c:pt>
                <c:pt idx="1">
                  <c:v>378.8</c:v>
                </c:pt>
                <c:pt idx="2">
                  <c:v>747.6</c:v>
                </c:pt>
                <c:pt idx="3">
                  <c:v>652.20000000000005</c:v>
                </c:pt>
                <c:pt idx="4">
                  <c:v>708.7</c:v>
                </c:pt>
                <c:pt idx="5">
                  <c:v>588</c:v>
                </c:pt>
                <c:pt idx="6">
                  <c:v>872.5</c:v>
                </c:pt>
                <c:pt idx="7">
                  <c:v>715.1</c:v>
                </c:pt>
                <c:pt idx="8">
                  <c:v>1070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4A-470A-ABAE-8906FC49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ObsMax!$V$45</c:f>
              <c:strCache>
                <c:ptCount val="1"/>
                <c:pt idx="0">
                  <c:v>sim8776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ObsMax!$O$46:$O$54</c:f>
              <c:numCache>
                <c:formatCode>General</c:formatCode>
                <c:ptCount val="9"/>
                <c:pt idx="0">
                  <c:v>135.9</c:v>
                </c:pt>
                <c:pt idx="1">
                  <c:v>188</c:v>
                </c:pt>
                <c:pt idx="2">
                  <c:v>245.2</c:v>
                </c:pt>
                <c:pt idx="3">
                  <c:v>324.7</c:v>
                </c:pt>
                <c:pt idx="4">
                  <c:v>328.9</c:v>
                </c:pt>
                <c:pt idx="5">
                  <c:v>354.9</c:v>
                </c:pt>
                <c:pt idx="6">
                  <c:v>367.3</c:v>
                </c:pt>
                <c:pt idx="7">
                  <c:v>382.8</c:v>
                </c:pt>
                <c:pt idx="8">
                  <c:v>486.5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1-465F-96D8-69271A333005}"/>
            </c:ext>
          </c:extLst>
        </c:ser>
        <c:ser>
          <c:idx val="1"/>
          <c:order val="5"/>
          <c:tx>
            <c:strRef>
              <c:f>ObsMax!$W$45</c:f>
              <c:strCache>
                <c:ptCount val="1"/>
                <c:pt idx="0">
                  <c:v>sim8777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ObsMax!$P$46:$P$54</c:f>
              <c:numCache>
                <c:formatCode>General</c:formatCode>
                <c:ptCount val="9"/>
                <c:pt idx="0">
                  <c:v>183.8</c:v>
                </c:pt>
                <c:pt idx="1">
                  <c:v>213.7</c:v>
                </c:pt>
                <c:pt idx="2">
                  <c:v>590.4</c:v>
                </c:pt>
                <c:pt idx="3">
                  <c:v>445</c:v>
                </c:pt>
                <c:pt idx="4">
                  <c:v>487.1</c:v>
                </c:pt>
                <c:pt idx="5">
                  <c:v>320.2</c:v>
                </c:pt>
                <c:pt idx="6">
                  <c:v>570.9</c:v>
                </c:pt>
                <c:pt idx="7">
                  <c:v>434.8</c:v>
                </c:pt>
                <c:pt idx="8">
                  <c:v>648.79999999999995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1-465F-96D8-69271A333005}"/>
            </c:ext>
          </c:extLst>
        </c:ser>
        <c:ser>
          <c:idx val="2"/>
          <c:order val="6"/>
          <c:tx>
            <c:strRef>
              <c:f>ObsMax!$X$45</c:f>
              <c:strCache>
                <c:ptCount val="1"/>
                <c:pt idx="0">
                  <c:v>sim8778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ObsMax!$Q$46:$Q$54</c:f>
              <c:numCache>
                <c:formatCode>General</c:formatCode>
                <c:ptCount val="9"/>
                <c:pt idx="0">
                  <c:v>359.6</c:v>
                </c:pt>
                <c:pt idx="1">
                  <c:v>399.9</c:v>
                </c:pt>
                <c:pt idx="2">
                  <c:v>623.5</c:v>
                </c:pt>
                <c:pt idx="3">
                  <c:v>613.4</c:v>
                </c:pt>
                <c:pt idx="4">
                  <c:v>581</c:v>
                </c:pt>
                <c:pt idx="5">
                  <c:v>661.6</c:v>
                </c:pt>
                <c:pt idx="6">
                  <c:v>671.8</c:v>
                </c:pt>
                <c:pt idx="7">
                  <c:v>737.1</c:v>
                </c:pt>
                <c:pt idx="8">
                  <c:v>846.5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1-465F-96D8-69271A333005}"/>
            </c:ext>
          </c:extLst>
        </c:ser>
        <c:ser>
          <c:idx val="3"/>
          <c:order val="7"/>
          <c:tx>
            <c:strRef>
              <c:f>ObsMax!$Y$45</c:f>
              <c:strCache>
                <c:ptCount val="1"/>
                <c:pt idx="0">
                  <c:v>sim8779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ObsMax!$R$46:$R$54</c:f>
              <c:numCache>
                <c:formatCode>General</c:formatCode>
                <c:ptCount val="9"/>
                <c:pt idx="0">
                  <c:v>152.9</c:v>
                </c:pt>
                <c:pt idx="1">
                  <c:v>167.5</c:v>
                </c:pt>
                <c:pt idx="2">
                  <c:v>265.8</c:v>
                </c:pt>
                <c:pt idx="3">
                  <c:v>349.9</c:v>
                </c:pt>
                <c:pt idx="4">
                  <c:v>296.60000000000002</c:v>
                </c:pt>
                <c:pt idx="5">
                  <c:v>242.1</c:v>
                </c:pt>
                <c:pt idx="6">
                  <c:v>268.7</c:v>
                </c:pt>
                <c:pt idx="7">
                  <c:v>308.2</c:v>
                </c:pt>
                <c:pt idx="8">
                  <c:v>221.7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01-465F-96D8-69271A333005}"/>
            </c:ext>
          </c:extLst>
        </c:ser>
        <c:ser>
          <c:idx val="4"/>
          <c:order val="8"/>
          <c:tx>
            <c:strRef>
              <c:f>ObsMax!$Z$45</c:f>
              <c:strCache>
                <c:ptCount val="1"/>
                <c:pt idx="0">
                  <c:v>sim8780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ObsMax!$S$46:$S$54</c:f>
              <c:numCache>
                <c:formatCode>General</c:formatCode>
                <c:ptCount val="9"/>
                <c:pt idx="0">
                  <c:v>343.8</c:v>
                </c:pt>
                <c:pt idx="1">
                  <c:v>378.8</c:v>
                </c:pt>
                <c:pt idx="2">
                  <c:v>747.6</c:v>
                </c:pt>
                <c:pt idx="3">
                  <c:v>652.20000000000005</c:v>
                </c:pt>
                <c:pt idx="4">
                  <c:v>708.7</c:v>
                </c:pt>
                <c:pt idx="5">
                  <c:v>588</c:v>
                </c:pt>
                <c:pt idx="6">
                  <c:v>872.5</c:v>
                </c:pt>
                <c:pt idx="7">
                  <c:v>715.1</c:v>
                </c:pt>
                <c:pt idx="8">
                  <c:v>1070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1-465F-96D8-69271A33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01-465F-96D8-69271A333005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01-465F-96D8-69271A333005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01-465F-96D8-69271A333005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01-465F-96D8-69271A33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ObsMax!$AC$45</c:f>
              <c:strCache>
                <c:ptCount val="1"/>
                <c:pt idx="0">
                  <c:v>sim8776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ObsMax!$AA$16:$AA$24</c:f>
              <c:numCache>
                <c:formatCode>General</c:formatCode>
                <c:ptCount val="9"/>
                <c:pt idx="0">
                  <c:v>90.759120921374375</c:v>
                </c:pt>
                <c:pt idx="1">
                  <c:v>122.60976864688527</c:v>
                </c:pt>
                <c:pt idx="2">
                  <c:v>145.52675514371282</c:v>
                </c:pt>
                <c:pt idx="3">
                  <c:v>166.44509545993478</c:v>
                </c:pt>
                <c:pt idx="4">
                  <c:v>187.70380447438686</c:v>
                </c:pt>
                <c:pt idx="5">
                  <c:v>211.15889295173582</c:v>
                </c:pt>
                <c:pt idx="6">
                  <c:v>239.47573493001408</c:v>
                </c:pt>
                <c:pt idx="7">
                  <c:v>278.68140051187714</c:v>
                </c:pt>
                <c:pt idx="8">
                  <c:v>354.2319182084708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0-4803-99A5-E28976D9E6AB}"/>
            </c:ext>
          </c:extLst>
        </c:ser>
        <c:ser>
          <c:idx val="1"/>
          <c:order val="1"/>
          <c:tx>
            <c:strRef>
              <c:f>ObsMax!$AD$45</c:f>
              <c:strCache>
                <c:ptCount val="1"/>
                <c:pt idx="0">
                  <c:v>sim8777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ObsMax!$AB$16:$AB$24</c:f>
              <c:numCache>
                <c:formatCode>General</c:formatCode>
                <c:ptCount val="9"/>
                <c:pt idx="0">
                  <c:v>197.05444554683149</c:v>
                </c:pt>
                <c:pt idx="1">
                  <c:v>239.63230206380561</c:v>
                </c:pt>
                <c:pt idx="2">
                  <c:v>270.26766531520417</c:v>
                </c:pt>
                <c:pt idx="3">
                  <c:v>298.2312439599159</c:v>
                </c:pt>
                <c:pt idx="4">
                  <c:v>326.64982652545854</c:v>
                </c:pt>
                <c:pt idx="5">
                  <c:v>358.0045229946802</c:v>
                </c:pt>
                <c:pt idx="6">
                  <c:v>395.85839790345557</c:v>
                </c:pt>
                <c:pt idx="7">
                  <c:v>448.26842165502939</c:v>
                </c:pt>
                <c:pt idx="8">
                  <c:v>549.26414174182014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0-4803-99A5-E28976D9E6AB}"/>
            </c:ext>
          </c:extLst>
        </c:ser>
        <c:ser>
          <c:idx val="2"/>
          <c:order val="2"/>
          <c:tx>
            <c:strRef>
              <c:f>ObsMax!$AE$45</c:f>
              <c:strCache>
                <c:ptCount val="1"/>
                <c:pt idx="0">
                  <c:v>sim8778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ObsMax!$AC$16:$AC$24</c:f>
              <c:numCache>
                <c:formatCode>General</c:formatCode>
                <c:ptCount val="9"/>
                <c:pt idx="0">
                  <c:v>230.99169596186886</c:v>
                </c:pt>
                <c:pt idx="1">
                  <c:v>282.58936856606618</c:v>
                </c:pt>
                <c:pt idx="2">
                  <c:v>319.71461564199996</c:v>
                </c:pt>
                <c:pt idx="3">
                  <c:v>353.60207954418934</c:v>
                </c:pt>
                <c:pt idx="4">
                  <c:v>388.04093671182653</c:v>
                </c:pt>
                <c:pt idx="5">
                  <c:v>426.03790263184447</c:v>
                </c:pt>
                <c:pt idx="6">
                  <c:v>471.91085172134552</c:v>
                </c:pt>
                <c:pt idx="7">
                  <c:v>535.4235662619152</c:v>
                </c:pt>
                <c:pt idx="8">
                  <c:v>657.81451136235512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30-4803-99A5-E28976D9E6AB}"/>
            </c:ext>
          </c:extLst>
        </c:ser>
        <c:ser>
          <c:idx val="3"/>
          <c:order val="3"/>
          <c:tx>
            <c:strRef>
              <c:f>ObsMax!$AF$45</c:f>
              <c:strCache>
                <c:ptCount val="1"/>
                <c:pt idx="0">
                  <c:v>sim8779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ObsMax!$AD$16:$AD$24</c:f>
              <c:numCache>
                <c:formatCode>General</c:formatCode>
                <c:ptCount val="9"/>
                <c:pt idx="0">
                  <c:v>290.63052213203332</c:v>
                </c:pt>
                <c:pt idx="1">
                  <c:v>341.16757910396996</c:v>
                </c:pt>
                <c:pt idx="2">
                  <c:v>377.52969839888289</c:v>
                </c:pt>
                <c:pt idx="3">
                  <c:v>410.72058875156284</c:v>
                </c:pt>
                <c:pt idx="4">
                  <c:v>444.45153820891659</c:v>
                </c:pt>
                <c:pt idx="5">
                  <c:v>481.6674577367379</c:v>
                </c:pt>
                <c:pt idx="6">
                  <c:v>526.59746571190908</c:v>
                </c:pt>
                <c:pt idx="7">
                  <c:v>588.80464505119608</c:v>
                </c:pt>
                <c:pt idx="8">
                  <c:v>708.67978385516869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30-4803-99A5-E28976D9E6AB}"/>
            </c:ext>
          </c:extLst>
        </c:ser>
        <c:ser>
          <c:idx val="4"/>
          <c:order val="4"/>
          <c:tx>
            <c:strRef>
              <c:f>ObsMax!$AG$45</c:f>
              <c:strCache>
                <c:ptCount val="1"/>
                <c:pt idx="0">
                  <c:v>sim8780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ObsMax!$AE$16:$AE$24</c:f>
              <c:numCache>
                <c:formatCode>General</c:formatCode>
                <c:ptCount val="9"/>
                <c:pt idx="0">
                  <c:v>135.50756050498956</c:v>
                </c:pt>
                <c:pt idx="1">
                  <c:v>166.54692801794678</c:v>
                </c:pt>
                <c:pt idx="2">
                  <c:v>188.88018705540014</c:v>
                </c:pt>
                <c:pt idx="3">
                  <c:v>209.26570820498324</c:v>
                </c:pt>
                <c:pt idx="4">
                  <c:v>229.98292838955362</c:v>
                </c:pt>
                <c:pt idx="5">
                  <c:v>252.84058320309276</c:v>
                </c:pt>
                <c:pt idx="6">
                  <c:v>280.43615590681918</c:v>
                </c:pt>
                <c:pt idx="7">
                  <c:v>318.64319876111097</c:v>
                </c:pt>
                <c:pt idx="8">
                  <c:v>392.26933989294366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30-4803-99A5-E28976D9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Xest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ObsMax!$AJ$45</c:f>
              <c:strCache>
                <c:ptCount val="1"/>
                <c:pt idx="0">
                  <c:v>sim8776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ObsMax!$AJ$46:$AJ$54</c:f>
              <c:numCache>
                <c:formatCode>General</c:formatCode>
                <c:ptCount val="9"/>
                <c:pt idx="0">
                  <c:v>178.88085992094895</c:v>
                </c:pt>
                <c:pt idx="1">
                  <c:v>217.06595826159088</c:v>
                </c:pt>
                <c:pt idx="2">
                  <c:v>244.54067056866961</c:v>
                </c:pt>
                <c:pt idx="3">
                  <c:v>269.61924633208093</c:v>
                </c:pt>
                <c:pt idx="4">
                  <c:v>295.10588325412243</c:v>
                </c:pt>
                <c:pt idx="5">
                  <c:v>323.22571515878622</c:v>
                </c:pt>
                <c:pt idx="6">
                  <c:v>357.17420515357264</c:v>
                </c:pt>
                <c:pt idx="7">
                  <c:v>404.1770858690777</c:v>
                </c:pt>
                <c:pt idx="8">
                  <c:v>494.75307580789968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7-482F-814B-43E07809327D}"/>
            </c:ext>
          </c:extLst>
        </c:ser>
        <c:ser>
          <c:idx val="1"/>
          <c:order val="5"/>
          <c:tx>
            <c:strRef>
              <c:f>ObsMax!$AK$45</c:f>
              <c:strCache>
                <c:ptCount val="1"/>
                <c:pt idx="0">
                  <c:v>sim8777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ObsMax!$AK$46:$AK$54</c:f>
              <c:numCache>
                <c:formatCode>General</c:formatCode>
                <c:ptCount val="9"/>
                <c:pt idx="0">
                  <c:v>227.1613415413845</c:v>
                </c:pt>
                <c:pt idx="1">
                  <c:v>285.82905424948024</c:v>
                </c:pt>
                <c:pt idx="2">
                  <c:v>328.04129406067614</c:v>
                </c:pt>
                <c:pt idx="3">
                  <c:v>366.57210167810894</c:v>
                </c:pt>
                <c:pt idx="4">
                  <c:v>405.72985582343296</c:v>
                </c:pt>
                <c:pt idx="5">
                  <c:v>448.93325954039784</c:v>
                </c:pt>
                <c:pt idx="6">
                  <c:v>501.0918330268504</c:v>
                </c:pt>
                <c:pt idx="7">
                  <c:v>573.30721604539224</c:v>
                </c:pt>
                <c:pt idx="8">
                  <c:v>712.46846969931812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17-482F-814B-43E07809327D}"/>
            </c:ext>
          </c:extLst>
        </c:ser>
        <c:ser>
          <c:idx val="2"/>
          <c:order val="6"/>
          <c:tx>
            <c:strRef>
              <c:f>ObsMax!$AL$45</c:f>
              <c:strCache>
                <c:ptCount val="1"/>
                <c:pt idx="0">
                  <c:v>sim8778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ObsMax!$AL$46:$AL$54</c:f>
              <c:numCache>
                <c:formatCode>General</c:formatCode>
                <c:ptCount val="9"/>
                <c:pt idx="0">
                  <c:v>419.64375198883124</c:v>
                </c:pt>
                <c:pt idx="1">
                  <c:v>474.10565817316058</c:v>
                </c:pt>
                <c:pt idx="2">
                  <c:v>513.29176136873525</c:v>
                </c:pt>
                <c:pt idx="3">
                  <c:v>549.06034911150402</c:v>
                </c:pt>
                <c:pt idx="4">
                  <c:v>585.41093845972966</c:v>
                </c:pt>
                <c:pt idx="5">
                  <c:v>625.51715040264662</c:v>
                </c:pt>
                <c:pt idx="6">
                  <c:v>673.93654848045242</c:v>
                </c:pt>
                <c:pt idx="7">
                  <c:v>740.97491138016221</c:v>
                </c:pt>
                <c:pt idx="8">
                  <c:v>870.15988879190172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17-482F-814B-43E07809327D}"/>
            </c:ext>
          </c:extLst>
        </c:ser>
        <c:ser>
          <c:idx val="3"/>
          <c:order val="7"/>
          <c:tx>
            <c:strRef>
              <c:f>ObsMax!$AM$45</c:f>
              <c:strCache>
                <c:ptCount val="1"/>
                <c:pt idx="0">
                  <c:v>sim8779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ObsMax!$AM$46:$AM$54</c:f>
              <c:numCache>
                <c:formatCode>General</c:formatCode>
                <c:ptCount val="9"/>
                <c:pt idx="0">
                  <c:v>172.09647676207661</c:v>
                </c:pt>
                <c:pt idx="1">
                  <c:v>195.06994834908272</c:v>
                </c:pt>
                <c:pt idx="2">
                  <c:v>211.5996824594186</c:v>
                </c:pt>
                <c:pt idx="3">
                  <c:v>226.68781821865269</c:v>
                </c:pt>
                <c:pt idx="4">
                  <c:v>242.02145763876317</c:v>
                </c:pt>
                <c:pt idx="5">
                  <c:v>258.93931793940317</c:v>
                </c:pt>
                <c:pt idx="6">
                  <c:v>279.36389988913442</c:v>
                </c:pt>
                <c:pt idx="7">
                  <c:v>307.64245334452244</c:v>
                </c:pt>
                <c:pt idx="8">
                  <c:v>362.13609148476388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17-482F-814B-43E07809327D}"/>
            </c:ext>
          </c:extLst>
        </c:ser>
        <c:ser>
          <c:idx val="4"/>
          <c:order val="8"/>
          <c:tx>
            <c:strRef>
              <c:f>ObsMax!$AN$45</c:f>
              <c:strCache>
                <c:ptCount val="1"/>
                <c:pt idx="0">
                  <c:v>sim8780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ObsMax!$AN$46:$AN$54</c:f>
              <c:numCache>
                <c:formatCode>General</c:formatCode>
                <c:ptCount val="9"/>
                <c:pt idx="0">
                  <c:v>392.67697754872063</c:v>
                </c:pt>
                <c:pt idx="1">
                  <c:v>473.29803743677678</c:v>
                </c:pt>
                <c:pt idx="2">
                  <c:v>531.30601758013415</c:v>
                </c:pt>
                <c:pt idx="3">
                  <c:v>584.25498056282709</c:v>
                </c:pt>
                <c:pt idx="4">
                  <c:v>638.06549227886194</c:v>
                </c:pt>
                <c:pt idx="5">
                  <c:v>697.43552798766245</c:v>
                </c:pt>
                <c:pt idx="6">
                  <c:v>769.11174106331907</c:v>
                </c:pt>
                <c:pt idx="7">
                  <c:v>868.34998387917335</c:v>
                </c:pt>
                <c:pt idx="8">
                  <c:v>1059.5851155563273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17-482F-814B-43E07809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pPr>
              <a:ln w="12700"/>
            </c:spPr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17-482F-814B-43E07809327D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17-482F-814B-43E07809327D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17-482F-814B-43E07809327D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17-482F-814B-43E07809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ObsMax!$O$62</c:f>
              <c:strCache>
                <c:ptCount val="1"/>
                <c:pt idx="0">
                  <c:v>sim16376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ObsMax!$AC$46:$AC$54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ObsMax!$O$63:$O$71</c:f>
              <c:numCache>
                <c:formatCode>General</c:formatCode>
                <c:ptCount val="9"/>
                <c:pt idx="0">
                  <c:v>154</c:v>
                </c:pt>
                <c:pt idx="1">
                  <c:v>157</c:v>
                </c:pt>
                <c:pt idx="2">
                  <c:v>264.10000000000002</c:v>
                </c:pt>
                <c:pt idx="3">
                  <c:v>279</c:v>
                </c:pt>
                <c:pt idx="4">
                  <c:v>279.5</c:v>
                </c:pt>
                <c:pt idx="5">
                  <c:v>293.5</c:v>
                </c:pt>
                <c:pt idx="6">
                  <c:v>305.89999999999998</c:v>
                </c:pt>
                <c:pt idx="7">
                  <c:v>308.3</c:v>
                </c:pt>
                <c:pt idx="8">
                  <c:v>339.6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4-413C-A9A4-C3495A94068C}"/>
            </c:ext>
          </c:extLst>
        </c:ser>
        <c:ser>
          <c:idx val="1"/>
          <c:order val="1"/>
          <c:tx>
            <c:strRef>
              <c:f>ObsMax!$P$62</c:f>
              <c:strCache>
                <c:ptCount val="1"/>
                <c:pt idx="0">
                  <c:v>sim16377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ObsMax!$AD$46:$AD$54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ObsMax!$P$63:$P$71</c:f>
              <c:numCache>
                <c:formatCode>General</c:formatCode>
                <c:ptCount val="9"/>
                <c:pt idx="0">
                  <c:v>206.3</c:v>
                </c:pt>
                <c:pt idx="1">
                  <c:v>151</c:v>
                </c:pt>
                <c:pt idx="2">
                  <c:v>488</c:v>
                </c:pt>
                <c:pt idx="3">
                  <c:v>492.7</c:v>
                </c:pt>
                <c:pt idx="4">
                  <c:v>647.20000000000005</c:v>
                </c:pt>
                <c:pt idx="5">
                  <c:v>508.2</c:v>
                </c:pt>
                <c:pt idx="6">
                  <c:v>330.4</c:v>
                </c:pt>
                <c:pt idx="7">
                  <c:v>556.9</c:v>
                </c:pt>
                <c:pt idx="8">
                  <c:v>406.4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4-413C-A9A4-C3495A94068C}"/>
            </c:ext>
          </c:extLst>
        </c:ser>
        <c:ser>
          <c:idx val="2"/>
          <c:order val="2"/>
          <c:tx>
            <c:strRef>
              <c:f>ObsMax!$Q$62</c:f>
              <c:strCache>
                <c:ptCount val="1"/>
                <c:pt idx="0">
                  <c:v>sim16378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ObsMax!$AE$46:$AE$54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ObsMax!$Q$63:$Q$71</c:f>
              <c:numCache>
                <c:formatCode>General</c:formatCode>
                <c:ptCount val="9"/>
                <c:pt idx="0">
                  <c:v>241</c:v>
                </c:pt>
                <c:pt idx="1">
                  <c:v>184.7</c:v>
                </c:pt>
                <c:pt idx="2">
                  <c:v>337.2</c:v>
                </c:pt>
                <c:pt idx="3">
                  <c:v>403.6</c:v>
                </c:pt>
                <c:pt idx="4">
                  <c:v>499.6</c:v>
                </c:pt>
                <c:pt idx="5">
                  <c:v>493.4</c:v>
                </c:pt>
                <c:pt idx="6">
                  <c:v>449.5</c:v>
                </c:pt>
                <c:pt idx="7">
                  <c:v>365.1</c:v>
                </c:pt>
                <c:pt idx="8">
                  <c:v>346.8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B4-413C-A9A4-C3495A94068C}"/>
            </c:ext>
          </c:extLst>
        </c:ser>
        <c:ser>
          <c:idx val="3"/>
          <c:order val="3"/>
          <c:tx>
            <c:strRef>
              <c:f>ObsMax!$R$62</c:f>
              <c:strCache>
                <c:ptCount val="1"/>
                <c:pt idx="0">
                  <c:v>sim16379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ObsMax!$AF$46:$AF$54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ObsMax!$R$63:$R$71</c:f>
              <c:numCache>
                <c:formatCode>General</c:formatCode>
                <c:ptCount val="9"/>
                <c:pt idx="0">
                  <c:v>450</c:v>
                </c:pt>
                <c:pt idx="1">
                  <c:v>397.6</c:v>
                </c:pt>
                <c:pt idx="2">
                  <c:v>723</c:v>
                </c:pt>
                <c:pt idx="3">
                  <c:v>651.9</c:v>
                </c:pt>
                <c:pt idx="4">
                  <c:v>947</c:v>
                </c:pt>
                <c:pt idx="5">
                  <c:v>788.6</c:v>
                </c:pt>
                <c:pt idx="6">
                  <c:v>619.70000000000005</c:v>
                </c:pt>
                <c:pt idx="7">
                  <c:v>727.2</c:v>
                </c:pt>
                <c:pt idx="8">
                  <c:v>704.4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B4-413C-A9A4-C3495A94068C}"/>
            </c:ext>
          </c:extLst>
        </c:ser>
        <c:ser>
          <c:idx val="4"/>
          <c:order val="4"/>
          <c:tx>
            <c:strRef>
              <c:f>ObsMax!$S$62</c:f>
              <c:strCache>
                <c:ptCount val="1"/>
                <c:pt idx="0">
                  <c:v>sim16380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ObsMax!$AG$46:$AG$54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ObsMax!$S$63:$S$71</c:f>
              <c:numCache>
                <c:formatCode>General</c:formatCode>
                <c:ptCount val="9"/>
                <c:pt idx="0">
                  <c:v>240.4</c:v>
                </c:pt>
                <c:pt idx="1">
                  <c:v>178.2</c:v>
                </c:pt>
                <c:pt idx="2">
                  <c:v>282.3</c:v>
                </c:pt>
                <c:pt idx="3">
                  <c:v>344.9</c:v>
                </c:pt>
                <c:pt idx="4">
                  <c:v>544</c:v>
                </c:pt>
                <c:pt idx="5">
                  <c:v>431.2</c:v>
                </c:pt>
                <c:pt idx="6">
                  <c:v>342</c:v>
                </c:pt>
                <c:pt idx="7">
                  <c:v>356.1</c:v>
                </c:pt>
                <c:pt idx="8">
                  <c:v>353.4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B4-413C-A9A4-C3495A94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ObsMax!$O$62</c:f>
              <c:strCache>
                <c:ptCount val="1"/>
                <c:pt idx="0">
                  <c:v>sim16376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ObsMax!$O$63:$O$71</c:f>
              <c:numCache>
                <c:formatCode>General</c:formatCode>
                <c:ptCount val="9"/>
                <c:pt idx="0">
                  <c:v>154</c:v>
                </c:pt>
                <c:pt idx="1">
                  <c:v>157</c:v>
                </c:pt>
                <c:pt idx="2">
                  <c:v>264.10000000000002</c:v>
                </c:pt>
                <c:pt idx="3">
                  <c:v>279</c:v>
                </c:pt>
                <c:pt idx="4">
                  <c:v>279.5</c:v>
                </c:pt>
                <c:pt idx="5">
                  <c:v>293.5</c:v>
                </c:pt>
                <c:pt idx="6">
                  <c:v>305.89999999999998</c:v>
                </c:pt>
                <c:pt idx="7">
                  <c:v>308.3</c:v>
                </c:pt>
                <c:pt idx="8">
                  <c:v>339.6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4-4E3F-BABB-BBC94F4BAB65}"/>
            </c:ext>
          </c:extLst>
        </c:ser>
        <c:ser>
          <c:idx val="1"/>
          <c:order val="5"/>
          <c:tx>
            <c:strRef>
              <c:f>ObsMax!$P$62</c:f>
              <c:strCache>
                <c:ptCount val="1"/>
                <c:pt idx="0">
                  <c:v>sim16377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ObsMax!$P$63:$P$71</c:f>
              <c:numCache>
                <c:formatCode>General</c:formatCode>
                <c:ptCount val="9"/>
                <c:pt idx="0">
                  <c:v>206.3</c:v>
                </c:pt>
                <c:pt idx="1">
                  <c:v>151</c:v>
                </c:pt>
                <c:pt idx="2">
                  <c:v>488</c:v>
                </c:pt>
                <c:pt idx="3">
                  <c:v>492.7</c:v>
                </c:pt>
                <c:pt idx="4">
                  <c:v>647.20000000000005</c:v>
                </c:pt>
                <c:pt idx="5">
                  <c:v>508.2</c:v>
                </c:pt>
                <c:pt idx="6">
                  <c:v>330.4</c:v>
                </c:pt>
                <c:pt idx="7">
                  <c:v>556.9</c:v>
                </c:pt>
                <c:pt idx="8">
                  <c:v>406.4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4-4E3F-BABB-BBC94F4BAB65}"/>
            </c:ext>
          </c:extLst>
        </c:ser>
        <c:ser>
          <c:idx val="2"/>
          <c:order val="6"/>
          <c:tx>
            <c:strRef>
              <c:f>ObsMax!$Q$62</c:f>
              <c:strCache>
                <c:ptCount val="1"/>
                <c:pt idx="0">
                  <c:v>sim16378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ObsMax!$Q$63:$Q$71</c:f>
              <c:numCache>
                <c:formatCode>General</c:formatCode>
                <c:ptCount val="9"/>
                <c:pt idx="0">
                  <c:v>241</c:v>
                </c:pt>
                <c:pt idx="1">
                  <c:v>184.7</c:v>
                </c:pt>
                <c:pt idx="2">
                  <c:v>337.2</c:v>
                </c:pt>
                <c:pt idx="3">
                  <c:v>403.6</c:v>
                </c:pt>
                <c:pt idx="4">
                  <c:v>499.6</c:v>
                </c:pt>
                <c:pt idx="5">
                  <c:v>493.4</c:v>
                </c:pt>
                <c:pt idx="6">
                  <c:v>449.5</c:v>
                </c:pt>
                <c:pt idx="7">
                  <c:v>365.1</c:v>
                </c:pt>
                <c:pt idx="8">
                  <c:v>346.8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94-4E3F-BABB-BBC94F4BAB65}"/>
            </c:ext>
          </c:extLst>
        </c:ser>
        <c:ser>
          <c:idx val="3"/>
          <c:order val="7"/>
          <c:tx>
            <c:strRef>
              <c:f>ObsMax!$R$62</c:f>
              <c:strCache>
                <c:ptCount val="1"/>
                <c:pt idx="0">
                  <c:v>sim16379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ObsMax!$R$63:$R$71</c:f>
              <c:numCache>
                <c:formatCode>General</c:formatCode>
                <c:ptCount val="9"/>
                <c:pt idx="0">
                  <c:v>450</c:v>
                </c:pt>
                <c:pt idx="1">
                  <c:v>397.6</c:v>
                </c:pt>
                <c:pt idx="2">
                  <c:v>723</c:v>
                </c:pt>
                <c:pt idx="3">
                  <c:v>651.9</c:v>
                </c:pt>
                <c:pt idx="4">
                  <c:v>947</c:v>
                </c:pt>
                <c:pt idx="5">
                  <c:v>788.6</c:v>
                </c:pt>
                <c:pt idx="6">
                  <c:v>619.70000000000005</c:v>
                </c:pt>
                <c:pt idx="7">
                  <c:v>727.2</c:v>
                </c:pt>
                <c:pt idx="8">
                  <c:v>704.4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94-4E3F-BABB-BBC94F4BAB65}"/>
            </c:ext>
          </c:extLst>
        </c:ser>
        <c:ser>
          <c:idx val="4"/>
          <c:order val="8"/>
          <c:tx>
            <c:strRef>
              <c:f>ObsMax!$S$62</c:f>
              <c:strCache>
                <c:ptCount val="1"/>
                <c:pt idx="0">
                  <c:v>sim16380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ObsMax!$S$63:$S$71</c:f>
              <c:numCache>
                <c:formatCode>General</c:formatCode>
                <c:ptCount val="9"/>
                <c:pt idx="0">
                  <c:v>240.4</c:v>
                </c:pt>
                <c:pt idx="1">
                  <c:v>178.2</c:v>
                </c:pt>
                <c:pt idx="2">
                  <c:v>282.3</c:v>
                </c:pt>
                <c:pt idx="3">
                  <c:v>344.9</c:v>
                </c:pt>
                <c:pt idx="4">
                  <c:v>544</c:v>
                </c:pt>
                <c:pt idx="5">
                  <c:v>431.2</c:v>
                </c:pt>
                <c:pt idx="6">
                  <c:v>342</c:v>
                </c:pt>
                <c:pt idx="7">
                  <c:v>356.1</c:v>
                </c:pt>
                <c:pt idx="8">
                  <c:v>353.4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94-4E3F-BABB-BBC94F4B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94-4E3F-BABB-BBC94F4BAB65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94-4E3F-BABB-BBC94F4BAB65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94-4E3F-BABB-BBC94F4BAB65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94-4E3F-BABB-BBC94F4B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ObsMax!$AJ$62</c:f>
              <c:strCache>
                <c:ptCount val="1"/>
                <c:pt idx="0">
                  <c:v>sim16376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ObsMax!$AJ$63:$AJ$71</c:f>
              <c:numCache>
                <c:formatCode>General</c:formatCode>
                <c:ptCount val="9"/>
                <c:pt idx="0">
                  <c:v>182.66938389444073</c:v>
                </c:pt>
                <c:pt idx="1">
                  <c:v>206.03425417062559</c:v>
                </c:pt>
                <c:pt idx="2">
                  <c:v>222.84560511186828</c:v>
                </c:pt>
                <c:pt idx="3">
                  <c:v>238.19079721262872</c:v>
                </c:pt>
                <c:pt idx="4">
                  <c:v>253.78567561643575</c:v>
                </c:pt>
                <c:pt idx="5">
                  <c:v>270.99176524803704</c:v>
                </c:pt>
                <c:pt idx="6">
                  <c:v>291.76432049261285</c:v>
                </c:pt>
                <c:pt idx="7">
                  <c:v>320.52465523701471</c:v>
                </c:pt>
                <c:pt idx="8">
                  <c:v>375.94670066894025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1D-4F92-BD42-C7AE3D1AADA5}"/>
            </c:ext>
          </c:extLst>
        </c:ser>
        <c:ser>
          <c:idx val="1"/>
          <c:order val="1"/>
          <c:tx>
            <c:strRef>
              <c:f>ObsMax!$AK$62</c:f>
              <c:strCache>
                <c:ptCount val="1"/>
                <c:pt idx="0">
                  <c:v>sim16377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ObsMax!$AK$63:$AK$71</c:f>
              <c:numCache>
                <c:formatCode>General</c:formatCode>
                <c:ptCount val="9"/>
                <c:pt idx="0">
                  <c:v>216.1892746420904</c:v>
                </c:pt>
                <c:pt idx="1">
                  <c:v>274.57632697916125</c:v>
                </c:pt>
                <c:pt idx="2">
                  <c:v>316.58662772813142</c:v>
                </c:pt>
                <c:pt idx="3">
                  <c:v>354.93310788054782</c:v>
                </c:pt>
                <c:pt idx="4">
                  <c:v>393.9035353124271</c:v>
                </c:pt>
                <c:pt idx="5">
                  <c:v>436.9002583398435</c:v>
                </c:pt>
                <c:pt idx="6">
                  <c:v>488.80931051532099</c:v>
                </c:pt>
                <c:pt idx="7">
                  <c:v>560.6792224858857</c:v>
                </c:pt>
                <c:pt idx="8">
                  <c:v>699.17474285518301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1D-4F92-BD42-C7AE3D1AADA5}"/>
            </c:ext>
          </c:extLst>
        </c:ser>
        <c:ser>
          <c:idx val="2"/>
          <c:order val="2"/>
          <c:tx>
            <c:strRef>
              <c:f>ObsMax!$AL$62</c:f>
              <c:strCache>
                <c:ptCount val="1"/>
                <c:pt idx="0">
                  <c:v>sim16378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ObsMax!$AL$63:$AL$71</c:f>
              <c:numCache>
                <c:formatCode>General</c:formatCode>
                <c:ptCount val="9"/>
                <c:pt idx="0">
                  <c:v>234.8706622836529</c:v>
                </c:pt>
                <c:pt idx="1">
                  <c:v>273.1442824221013</c:v>
                </c:pt>
                <c:pt idx="2">
                  <c:v>300.68268740075422</c:v>
                </c:pt>
                <c:pt idx="3">
                  <c:v>325.81940104280079</c:v>
                </c:pt>
                <c:pt idx="4">
                  <c:v>351.36512182264079</c:v>
                </c:pt>
                <c:pt idx="5">
                  <c:v>379.55014193376172</c:v>
                </c:pt>
                <c:pt idx="6">
                  <c:v>413.57733229852875</c:v>
                </c:pt>
                <c:pt idx="7">
                  <c:v>460.68917644961022</c:v>
                </c:pt>
                <c:pt idx="8">
                  <c:v>551.47514226425574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1D-4F92-BD42-C7AE3D1AADA5}"/>
            </c:ext>
          </c:extLst>
        </c:ser>
        <c:ser>
          <c:idx val="3"/>
          <c:order val="3"/>
          <c:tx>
            <c:strRef>
              <c:f>ObsMax!$AM$62</c:f>
              <c:strCache>
                <c:ptCount val="1"/>
                <c:pt idx="0">
                  <c:v>sim16379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ObsMax!$AM$63:$AM$71</c:f>
              <c:numCache>
                <c:formatCode>General</c:formatCode>
                <c:ptCount val="9"/>
                <c:pt idx="0">
                  <c:v>458.77247188184805</c:v>
                </c:pt>
                <c:pt idx="1">
                  <c:v>518.39776154246249</c:v>
                </c:pt>
                <c:pt idx="2">
                  <c:v>561.29899136352151</c:v>
                </c:pt>
                <c:pt idx="3">
                  <c:v>600.45870049480686</c:v>
                </c:pt>
                <c:pt idx="4">
                  <c:v>640.2555892024161</c:v>
                </c:pt>
                <c:pt idx="5">
                  <c:v>684.16416074952235</c:v>
                </c:pt>
                <c:pt idx="6">
                  <c:v>737.17406873567484</c:v>
                </c:pt>
                <c:pt idx="7">
                  <c:v>810.5681543694003</c:v>
                </c:pt>
                <c:pt idx="8">
                  <c:v>952.00080404392168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1D-4F92-BD42-C7AE3D1AADA5}"/>
            </c:ext>
          </c:extLst>
        </c:ser>
        <c:ser>
          <c:idx val="4"/>
          <c:order val="4"/>
          <c:tx>
            <c:strRef>
              <c:f>ObsMax!$AN$62</c:f>
              <c:strCache>
                <c:ptCount val="1"/>
                <c:pt idx="0">
                  <c:v>sim16380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ObsMax!$AN$63:$AN$71</c:f>
              <c:numCache>
                <c:formatCode>General</c:formatCode>
                <c:ptCount val="9"/>
                <c:pt idx="0">
                  <c:v>208.9322247800265</c:v>
                </c:pt>
                <c:pt idx="1">
                  <c:v>246.731681089798</c:v>
                </c:pt>
                <c:pt idx="2">
                  <c:v>273.92891856213458</c:v>
                </c:pt>
                <c:pt idx="3">
                  <c:v>298.75421874661549</c:v>
                </c:pt>
                <c:pt idx="4">
                  <c:v>323.9834589654983</c:v>
                </c:pt>
                <c:pt idx="5">
                  <c:v>351.81930079144837</c:v>
                </c:pt>
                <c:pt idx="6">
                  <c:v>385.42493545272794</c:v>
                </c:pt>
                <c:pt idx="7">
                  <c:v>431.95312087704406</c:v>
                </c:pt>
                <c:pt idx="8">
                  <c:v>521.61435845889935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1D-4F92-BD42-C7AE3D1AA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Xest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ObsMax!$AJ$62</c:f>
              <c:strCache>
                <c:ptCount val="1"/>
                <c:pt idx="0">
                  <c:v>sim16376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ObsMax!$AJ$63:$AJ$71</c:f>
              <c:numCache>
                <c:formatCode>General</c:formatCode>
                <c:ptCount val="9"/>
                <c:pt idx="0">
                  <c:v>182.66938389444073</c:v>
                </c:pt>
                <c:pt idx="1">
                  <c:v>206.03425417062559</c:v>
                </c:pt>
                <c:pt idx="2">
                  <c:v>222.84560511186828</c:v>
                </c:pt>
                <c:pt idx="3">
                  <c:v>238.19079721262872</c:v>
                </c:pt>
                <c:pt idx="4">
                  <c:v>253.78567561643575</c:v>
                </c:pt>
                <c:pt idx="5">
                  <c:v>270.99176524803704</c:v>
                </c:pt>
                <c:pt idx="6">
                  <c:v>291.76432049261285</c:v>
                </c:pt>
                <c:pt idx="7">
                  <c:v>320.52465523701471</c:v>
                </c:pt>
                <c:pt idx="8">
                  <c:v>375.94670066894025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A-4EFA-8626-8D5909D54B6D}"/>
            </c:ext>
          </c:extLst>
        </c:ser>
        <c:ser>
          <c:idx val="1"/>
          <c:order val="5"/>
          <c:tx>
            <c:strRef>
              <c:f>ObsMax!$AK$62</c:f>
              <c:strCache>
                <c:ptCount val="1"/>
                <c:pt idx="0">
                  <c:v>sim16377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ObsMax!$AK$63:$AK$71</c:f>
              <c:numCache>
                <c:formatCode>General</c:formatCode>
                <c:ptCount val="9"/>
                <c:pt idx="0">
                  <c:v>216.1892746420904</c:v>
                </c:pt>
                <c:pt idx="1">
                  <c:v>274.57632697916125</c:v>
                </c:pt>
                <c:pt idx="2">
                  <c:v>316.58662772813142</c:v>
                </c:pt>
                <c:pt idx="3">
                  <c:v>354.93310788054782</c:v>
                </c:pt>
                <c:pt idx="4">
                  <c:v>393.9035353124271</c:v>
                </c:pt>
                <c:pt idx="5">
                  <c:v>436.9002583398435</c:v>
                </c:pt>
                <c:pt idx="6">
                  <c:v>488.80931051532099</c:v>
                </c:pt>
                <c:pt idx="7">
                  <c:v>560.6792224858857</c:v>
                </c:pt>
                <c:pt idx="8">
                  <c:v>699.17474285518301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A-4EFA-8626-8D5909D54B6D}"/>
            </c:ext>
          </c:extLst>
        </c:ser>
        <c:ser>
          <c:idx val="2"/>
          <c:order val="6"/>
          <c:tx>
            <c:strRef>
              <c:f>ObsMax!$AL$62</c:f>
              <c:strCache>
                <c:ptCount val="1"/>
                <c:pt idx="0">
                  <c:v>sim16378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ObsMax!$AL$63:$AL$71</c:f>
              <c:numCache>
                <c:formatCode>General</c:formatCode>
                <c:ptCount val="9"/>
                <c:pt idx="0">
                  <c:v>234.8706622836529</c:v>
                </c:pt>
                <c:pt idx="1">
                  <c:v>273.1442824221013</c:v>
                </c:pt>
                <c:pt idx="2">
                  <c:v>300.68268740075422</c:v>
                </c:pt>
                <c:pt idx="3">
                  <c:v>325.81940104280079</c:v>
                </c:pt>
                <c:pt idx="4">
                  <c:v>351.36512182264079</c:v>
                </c:pt>
                <c:pt idx="5">
                  <c:v>379.55014193376172</c:v>
                </c:pt>
                <c:pt idx="6">
                  <c:v>413.57733229852875</c:v>
                </c:pt>
                <c:pt idx="7">
                  <c:v>460.68917644961022</c:v>
                </c:pt>
                <c:pt idx="8">
                  <c:v>551.47514226425574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A-4EFA-8626-8D5909D54B6D}"/>
            </c:ext>
          </c:extLst>
        </c:ser>
        <c:ser>
          <c:idx val="3"/>
          <c:order val="7"/>
          <c:tx>
            <c:strRef>
              <c:f>ObsMax!$AM$62</c:f>
              <c:strCache>
                <c:ptCount val="1"/>
                <c:pt idx="0">
                  <c:v>sim16379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ObsMax!$AM$63:$AM$71</c:f>
              <c:numCache>
                <c:formatCode>General</c:formatCode>
                <c:ptCount val="9"/>
                <c:pt idx="0">
                  <c:v>458.77247188184805</c:v>
                </c:pt>
                <c:pt idx="1">
                  <c:v>518.39776154246249</c:v>
                </c:pt>
                <c:pt idx="2">
                  <c:v>561.29899136352151</c:v>
                </c:pt>
                <c:pt idx="3">
                  <c:v>600.45870049480686</c:v>
                </c:pt>
                <c:pt idx="4">
                  <c:v>640.2555892024161</c:v>
                </c:pt>
                <c:pt idx="5">
                  <c:v>684.16416074952235</c:v>
                </c:pt>
                <c:pt idx="6">
                  <c:v>737.17406873567484</c:v>
                </c:pt>
                <c:pt idx="7">
                  <c:v>810.5681543694003</c:v>
                </c:pt>
                <c:pt idx="8">
                  <c:v>952.00080404392168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9A-4EFA-8626-8D5909D54B6D}"/>
            </c:ext>
          </c:extLst>
        </c:ser>
        <c:ser>
          <c:idx val="4"/>
          <c:order val="8"/>
          <c:tx>
            <c:strRef>
              <c:f>ObsMax!$AN$62</c:f>
              <c:strCache>
                <c:ptCount val="1"/>
                <c:pt idx="0">
                  <c:v>sim16380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ObsMax!$AN$63:$AN$71</c:f>
              <c:numCache>
                <c:formatCode>General</c:formatCode>
                <c:ptCount val="9"/>
                <c:pt idx="0">
                  <c:v>208.9322247800265</c:v>
                </c:pt>
                <c:pt idx="1">
                  <c:v>246.731681089798</c:v>
                </c:pt>
                <c:pt idx="2">
                  <c:v>273.92891856213458</c:v>
                </c:pt>
                <c:pt idx="3">
                  <c:v>298.75421874661549</c:v>
                </c:pt>
                <c:pt idx="4">
                  <c:v>323.9834589654983</c:v>
                </c:pt>
                <c:pt idx="5">
                  <c:v>351.81930079144837</c:v>
                </c:pt>
                <c:pt idx="6">
                  <c:v>385.42493545272794</c:v>
                </c:pt>
                <c:pt idx="7">
                  <c:v>431.95312087704406</c:v>
                </c:pt>
                <c:pt idx="8">
                  <c:v>521.61435845889935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9A-4EFA-8626-8D5909D5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9A-4EFA-8626-8D5909D54B6D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9A-4EFA-8626-8D5909D54B6D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09A-4EFA-8626-8D5909D54B6D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09A-4EFA-8626-8D5909D5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Sheet1!$D$2:$D$28</c:f>
              <c:numCache>
                <c:formatCode>General</c:formatCode>
                <c:ptCount val="27"/>
                <c:pt idx="0">
                  <c:v>-1.3558583385017555</c:v>
                </c:pt>
                <c:pt idx="1">
                  <c:v>-1.0492769505521258</c:v>
                </c:pt>
                <c:pt idx="2">
                  <c:v>-0.85877356386498971</c:v>
                </c:pt>
                <c:pt idx="3">
                  <c:v>-0.70828744523306131</c:v>
                </c:pt>
                <c:pt idx="4">
                  <c:v>-0.57826864500097008</c:v>
                </c:pt>
                <c:pt idx="5">
                  <c:v>-0.46037830079718955</c:v>
                </c:pt>
                <c:pt idx="6">
                  <c:v>-0.35015030679298359</c:v>
                </c:pt>
                <c:pt idx="7">
                  <c:v>-0.24482697576733706</c:v>
                </c:pt>
                <c:pt idx="8">
                  <c:v>-0.14251577571788146</c:v>
                </c:pt>
                <c:pt idx="9">
                  <c:v>-4.1797904733464966E-2</c:v>
                </c:pt>
                <c:pt idx="10">
                  <c:v>5.84788542794034E-2</c:v>
                </c:pt>
                <c:pt idx="11">
                  <c:v>0.15932333517251901</c:v>
                </c:pt>
                <c:pt idx="12">
                  <c:v>0.26168390332384683</c:v>
                </c:pt>
                <c:pt idx="13">
                  <c:v>0.36651292058166435</c:v>
                </c:pt>
                <c:pt idx="14">
                  <c:v>0.47482576458885201</c:v>
                </c:pt>
                <c:pt idx="15">
                  <c:v>0.58776436537124677</c:v>
                </c:pt>
                <c:pt idx="16">
                  <c:v>0.70667565081305528</c:v>
                </c:pt>
                <c:pt idx="17">
                  <c:v>0.83321905877023739</c:v>
                </c:pt>
                <c:pt idx="18">
                  <c:v>0.96952608000120999</c:v>
                </c:pt>
                <c:pt idx="19">
                  <c:v>1.1184534334015739</c:v>
                </c:pt>
                <c:pt idx="20">
                  <c:v>1.2840120974753026</c:v>
                </c:pt>
                <c:pt idx="21">
                  <c:v>1.4721498230271055</c:v>
                </c:pt>
                <c:pt idx="22">
                  <c:v>1.6923140163235744</c:v>
                </c:pt>
                <c:pt idx="23">
                  <c:v>1.960975331164573</c:v>
                </c:pt>
                <c:pt idx="24">
                  <c:v>2.3110976240650274</c:v>
                </c:pt>
                <c:pt idx="25">
                  <c:v>2.8261104588077983</c:v>
                </c:pt>
                <c:pt idx="26">
                  <c:v>3.8696755287774729</c:v>
                </c:pt>
              </c:numCache>
            </c:numRef>
          </c:xVal>
          <c:yVal>
            <c:numRef>
              <c:f>Sheet1!$G$2:$G$28</c:f>
              <c:numCache>
                <c:formatCode>General</c:formatCode>
                <c:ptCount val="27"/>
                <c:pt idx="0">
                  <c:v>44.521416089816931</c:v>
                </c:pt>
                <c:pt idx="1">
                  <c:v>55.868013125217914</c:v>
                </c:pt>
                <c:pt idx="2">
                  <c:v>62.716393108330465</c:v>
                </c:pt>
                <c:pt idx="3">
                  <c:v>67.977755361157591</c:v>
                </c:pt>
                <c:pt idx="4">
                  <c:v>72.39327519366131</c:v>
                </c:pt>
                <c:pt idx="5">
                  <c:v>76.274290868329757</c:v>
                </c:pt>
                <c:pt idx="6">
                  <c:v>79.783696364943424</c:v>
                </c:pt>
                <c:pt idx="7">
                  <c:v>83.018942816677196</c:v>
                </c:pt>
                <c:pt idx="8">
                  <c:v>86.044417950123048</c:v>
                </c:pt>
                <c:pt idx="9">
                  <c:v>88.906462181822818</c:v>
                </c:pt>
                <c:pt idx="10">
                  <c:v>91.641213747834229</c:v>
                </c:pt>
                <c:pt idx="11">
                  <c:v>94.279077670031498</c:v>
                </c:pt>
                <c:pt idx="12">
                  <c:v>96.847457247794864</c:v>
                </c:pt>
                <c:pt idx="13">
                  <c:v>99.372562234026745</c:v>
                </c:pt>
                <c:pt idx="14">
                  <c:v>101.88076563340627</c:v>
                </c:pt>
                <c:pt idx="15">
                  <c:v>104.39983510863303</c:v>
                </c:pt>
                <c:pt idx="16">
                  <c:v>106.96031593575121</c:v>
                </c:pt>
                <c:pt idx="17">
                  <c:v>109.59736716596453</c:v>
                </c:pt>
                <c:pt idx="18">
                  <c:v>112.35347361787476</c:v>
                </c:pt>
                <c:pt idx="19">
                  <c:v>115.28275244537107</c:v>
                </c:pt>
                <c:pt idx="20">
                  <c:v>118.45824790590645</c:v>
                </c:pt>
                <c:pt idx="21">
                  <c:v>121.98521296600164</c:v>
                </c:pt>
                <c:pt idx="22">
                  <c:v>126.02758037964148</c:v>
                </c:pt>
                <c:pt idx="23">
                  <c:v>130.86753083706387</c:v>
                </c:pt>
                <c:pt idx="24">
                  <c:v>137.06533288166366</c:v>
                </c:pt>
                <c:pt idx="25">
                  <c:v>146.03187538423188</c:v>
                </c:pt>
                <c:pt idx="26">
                  <c:v>163.89300111048587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F-4D71-8E57-AF0B5744BB49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Sheet1!$D$2:$D$28</c:f>
              <c:numCache>
                <c:formatCode>General</c:formatCode>
                <c:ptCount val="27"/>
                <c:pt idx="0">
                  <c:v>-1.3558583385017555</c:v>
                </c:pt>
                <c:pt idx="1">
                  <c:v>-1.0492769505521258</c:v>
                </c:pt>
                <c:pt idx="2">
                  <c:v>-0.85877356386498971</c:v>
                </c:pt>
                <c:pt idx="3">
                  <c:v>-0.70828744523306131</c:v>
                </c:pt>
                <c:pt idx="4">
                  <c:v>-0.57826864500097008</c:v>
                </c:pt>
                <c:pt idx="5">
                  <c:v>-0.46037830079718955</c:v>
                </c:pt>
                <c:pt idx="6">
                  <c:v>-0.35015030679298359</c:v>
                </c:pt>
                <c:pt idx="7">
                  <c:v>-0.24482697576733706</c:v>
                </c:pt>
                <c:pt idx="8">
                  <c:v>-0.14251577571788146</c:v>
                </c:pt>
                <c:pt idx="9">
                  <c:v>-4.1797904733464966E-2</c:v>
                </c:pt>
                <c:pt idx="10">
                  <c:v>5.84788542794034E-2</c:v>
                </c:pt>
                <c:pt idx="11">
                  <c:v>0.15932333517251901</c:v>
                </c:pt>
                <c:pt idx="12">
                  <c:v>0.26168390332384683</c:v>
                </c:pt>
                <c:pt idx="13">
                  <c:v>0.36651292058166435</c:v>
                </c:pt>
                <c:pt idx="14">
                  <c:v>0.47482576458885201</c:v>
                </c:pt>
                <c:pt idx="15">
                  <c:v>0.58776436537124677</c:v>
                </c:pt>
                <c:pt idx="16">
                  <c:v>0.70667565081305528</c:v>
                </c:pt>
                <c:pt idx="17">
                  <c:v>0.83321905877023739</c:v>
                </c:pt>
                <c:pt idx="18">
                  <c:v>0.96952608000120999</c:v>
                </c:pt>
                <c:pt idx="19">
                  <c:v>1.1184534334015739</c:v>
                </c:pt>
                <c:pt idx="20">
                  <c:v>1.2840120974753026</c:v>
                </c:pt>
                <c:pt idx="21">
                  <c:v>1.4721498230271055</c:v>
                </c:pt>
                <c:pt idx="22">
                  <c:v>1.6923140163235744</c:v>
                </c:pt>
                <c:pt idx="23">
                  <c:v>1.960975331164573</c:v>
                </c:pt>
                <c:pt idx="24">
                  <c:v>2.3110976240650274</c:v>
                </c:pt>
                <c:pt idx="25">
                  <c:v>2.8261104588077983</c:v>
                </c:pt>
                <c:pt idx="26">
                  <c:v>3.8696755287774729</c:v>
                </c:pt>
              </c:numCache>
            </c:numRef>
          </c:xVal>
          <c:yVal>
            <c:numRef>
              <c:f>Sheet1!$H$2:$H$28</c:f>
              <c:numCache>
                <c:formatCode>General</c:formatCode>
                <c:ptCount val="27"/>
                <c:pt idx="0">
                  <c:v>82.923328531314382</c:v>
                </c:pt>
                <c:pt idx="1">
                  <c:v>88.979708660347711</c:v>
                </c:pt>
                <c:pt idx="2">
                  <c:v>92.945181763477706</c:v>
                </c:pt>
                <c:pt idx="3">
                  <c:v>96.226107428487524</c:v>
                </c:pt>
                <c:pt idx="4">
                  <c:v>99.191055883765131</c:v>
                </c:pt>
                <c:pt idx="5">
                  <c:v>102.00204125262636</c:v>
                </c:pt>
                <c:pt idx="6">
                  <c:v>104.74968637270494</c:v>
                </c:pt>
                <c:pt idx="7">
                  <c:v>107.49307918860546</c:v>
                </c:pt>
                <c:pt idx="8">
                  <c:v>110.27526084096253</c:v>
                </c:pt>
                <c:pt idx="9">
                  <c:v>113.13042867002956</c:v>
                </c:pt>
                <c:pt idx="10">
                  <c:v>116.08784960964704</c:v>
                </c:pt>
                <c:pt idx="11">
                  <c:v>119.17438471205874</c:v>
                </c:pt>
                <c:pt idx="12">
                  <c:v>122.41646428183094</c:v>
                </c:pt>
                <c:pt idx="13">
                  <c:v>125.84193902814179</c:v>
                </c:pt>
                <c:pt idx="14">
                  <c:v>129.48207347626956</c:v>
                </c:pt>
                <c:pt idx="15">
                  <c:v>133.37392119188709</c:v>
                </c:pt>
                <c:pt idx="16">
                  <c:v>137.56339475364172</c:v>
                </c:pt>
                <c:pt idx="17">
                  <c:v>142.10953247601529</c:v>
                </c:pt>
                <c:pt idx="18">
                  <c:v>147.0908428115338</c:v>
                </c:pt>
                <c:pt idx="19">
                  <c:v>152.61536917984407</c:v>
                </c:pt>
                <c:pt idx="20">
                  <c:v>158.83774900951624</c:v>
                </c:pt>
                <c:pt idx="21">
                  <c:v>165.99035117117478</c:v>
                </c:pt>
                <c:pt idx="22">
                  <c:v>174.44552137385645</c:v>
                </c:pt>
                <c:pt idx="23">
                  <c:v>184.85602939473202</c:v>
                </c:pt>
                <c:pt idx="24">
                  <c:v>198.5327876059136</c:v>
                </c:pt>
                <c:pt idx="25">
                  <c:v>218.8007549421865</c:v>
                </c:pt>
                <c:pt idx="26">
                  <c:v>260.1772078691655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F-4D71-8E57-AF0B5744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82208"/>
        <c:axId val="1600076928"/>
      </c:scatterChart>
      <c:valAx>
        <c:axId val="16000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76928"/>
        <c:crosses val="autoZero"/>
        <c:crossBetween val="midCat"/>
      </c:valAx>
      <c:valAx>
        <c:axId val="160007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8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192405</xdr:colOff>
      <xdr:row>18</xdr:row>
      <xdr:rowOff>21907</xdr:rowOff>
    </xdr:from>
    <xdr:to>
      <xdr:col>11</xdr:col>
      <xdr:colOff>310515</xdr:colOff>
      <xdr:row>42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760E2-9E74-F2D8-AB88-6CC59AA25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455295</xdr:colOff>
      <xdr:row>26</xdr:row>
      <xdr:rowOff>124777</xdr:rowOff>
    </xdr:from>
    <xdr:to>
      <xdr:col>19</xdr:col>
      <xdr:colOff>150495</xdr:colOff>
      <xdr:row>41</xdr:row>
      <xdr:rowOff>145732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0FF35E-7E8A-42F7-515E-71ED459C9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281940</xdr:colOff>
      <xdr:row>26</xdr:row>
      <xdr:rowOff>129540</xdr:rowOff>
    </xdr:from>
    <xdr:to>
      <xdr:col>27</xdr:col>
      <xdr:colOff>504825</xdr:colOff>
      <xdr:row>41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2F9FC2-6C8A-48F5-BAA8-0AFBC1A54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26</xdr:row>
      <xdr:rowOff>142875</xdr:rowOff>
    </xdr:from>
    <xdr:to>
      <xdr:col>35</xdr:col>
      <xdr:colOff>304800</xdr:colOff>
      <xdr:row>41</xdr:row>
      <xdr:rowOff>163830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A0F69A-0552-4F1F-AAD6-655DF9437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409920</xdr:colOff>
      <xdr:row>26</xdr:row>
      <xdr:rowOff>155863</xdr:rowOff>
    </xdr:from>
    <xdr:to>
      <xdr:col>42</xdr:col>
      <xdr:colOff>571499</xdr:colOff>
      <xdr:row>42</xdr:row>
      <xdr:rowOff>17319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1F7387-1A03-45EC-A7C9-794A1ACE3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86591</xdr:colOff>
      <xdr:row>73</xdr:row>
      <xdr:rowOff>103908</xdr:rowOff>
    </xdr:from>
    <xdr:to>
      <xdr:col>19</xdr:col>
      <xdr:colOff>387927</xdr:colOff>
      <xdr:row>88</xdr:row>
      <xdr:rowOff>124864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B6CF35-693F-4474-B7EC-8F3932C17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526992</xdr:colOff>
      <xdr:row>73</xdr:row>
      <xdr:rowOff>112481</xdr:rowOff>
    </xdr:from>
    <xdr:to>
      <xdr:col>28</xdr:col>
      <xdr:colOff>141836</xdr:colOff>
      <xdr:row>88</xdr:row>
      <xdr:rowOff>141057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5922F03-6ED1-45BA-9220-9D44158FE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237432</xdr:colOff>
      <xdr:row>73</xdr:row>
      <xdr:rowOff>122006</xdr:rowOff>
    </xdr:from>
    <xdr:to>
      <xdr:col>35</xdr:col>
      <xdr:colOff>542232</xdr:colOff>
      <xdr:row>88</xdr:row>
      <xdr:rowOff>144867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6D8CB0D-6FEA-430D-AB6B-BC958038B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35501</xdr:colOff>
      <xdr:row>73</xdr:row>
      <xdr:rowOff>131184</xdr:rowOff>
    </xdr:from>
    <xdr:to>
      <xdr:col>43</xdr:col>
      <xdr:colOff>202794</xdr:colOff>
      <xdr:row>88</xdr:row>
      <xdr:rowOff>169632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D48D8E0-95A0-4DF7-B4C0-99AB45F60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91</xdr:row>
      <xdr:rowOff>0</xdr:rowOff>
    </xdr:from>
    <xdr:to>
      <xdr:col>19</xdr:col>
      <xdr:colOff>301336</xdr:colOff>
      <xdr:row>106</xdr:row>
      <xdr:rowOff>24765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38990CA-C12E-498D-8A43-F4264C8F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436591</xdr:colOff>
      <xdr:row>91</xdr:row>
      <xdr:rowOff>10478</xdr:rowOff>
    </xdr:from>
    <xdr:to>
      <xdr:col>28</xdr:col>
      <xdr:colOff>51435</xdr:colOff>
      <xdr:row>106</xdr:row>
      <xdr:rowOff>37148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5E7DEEE-2FA3-4A45-9867-E9AC2755B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150841</xdr:colOff>
      <xdr:row>91</xdr:row>
      <xdr:rowOff>21908</xdr:rowOff>
    </xdr:from>
    <xdr:to>
      <xdr:col>35</xdr:col>
      <xdr:colOff>455641</xdr:colOff>
      <xdr:row>106</xdr:row>
      <xdr:rowOff>40958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59F5852-F68C-4FAA-894A-B0094A364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553141</xdr:colOff>
      <xdr:row>91</xdr:row>
      <xdr:rowOff>32991</xdr:rowOff>
    </xdr:from>
    <xdr:to>
      <xdr:col>43</xdr:col>
      <xdr:colOff>118108</xdr:colOff>
      <xdr:row>106</xdr:row>
      <xdr:rowOff>71438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C47A7BE-05CD-4392-ACB5-DA687F088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12</xdr:row>
      <xdr:rowOff>120967</xdr:rowOff>
    </xdr:from>
    <xdr:to>
      <xdr:col>15</xdr:col>
      <xdr:colOff>209550</xdr:colOff>
      <xdr:row>27</xdr:row>
      <xdr:rowOff>155257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06D09-A529-8276-2D22-4F5CC18A8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8373-1850-4AAF-948B-8FF4F6188980}">
  <dimension ref="A1:AO38"/>
  <sheetViews>
    <sheetView zoomScale="70" zoomScaleNormal="70" workbookViewId="0">
      <selection activeCell="AA2" sqref="AA2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6</v>
      </c>
      <c r="G1" t="s">
        <v>1</v>
      </c>
      <c r="H1" t="s">
        <v>2</v>
      </c>
      <c r="I1" t="s">
        <v>3</v>
      </c>
      <c r="J1" s="1" t="s">
        <v>5</v>
      </c>
      <c r="K1" t="s">
        <v>1</v>
      </c>
      <c r="L1" t="s">
        <v>2</v>
      </c>
      <c r="M1" t="s">
        <v>3</v>
      </c>
      <c r="N1" s="1" t="s">
        <v>9</v>
      </c>
      <c r="O1" t="s">
        <v>1</v>
      </c>
      <c r="P1" t="s">
        <v>2</v>
      </c>
      <c r="Q1" t="s">
        <v>3</v>
      </c>
      <c r="R1" s="1" t="s">
        <v>11</v>
      </c>
      <c r="S1" t="s">
        <v>1</v>
      </c>
      <c r="T1" t="s">
        <v>2</v>
      </c>
      <c r="U1" t="s">
        <v>3</v>
      </c>
      <c r="V1" s="1" t="s">
        <v>10</v>
      </c>
      <c r="W1" t="s">
        <v>1</v>
      </c>
      <c r="X1" t="s">
        <v>2</v>
      </c>
      <c r="Y1" t="s">
        <v>3</v>
      </c>
      <c r="Z1" s="1" t="s">
        <v>15</v>
      </c>
      <c r="AA1" t="s">
        <v>1</v>
      </c>
      <c r="AB1" t="s">
        <v>2</v>
      </c>
      <c r="AC1" t="s">
        <v>3</v>
      </c>
      <c r="AD1" s="1" t="s">
        <v>16</v>
      </c>
      <c r="AE1" t="s">
        <v>1</v>
      </c>
      <c r="AF1" t="s">
        <v>2</v>
      </c>
      <c r="AG1" t="s">
        <v>3</v>
      </c>
      <c r="AH1" s="1" t="s">
        <v>17</v>
      </c>
      <c r="AI1" t="s">
        <v>1</v>
      </c>
      <c r="AJ1" t="s">
        <v>2</v>
      </c>
      <c r="AK1" t="s">
        <v>3</v>
      </c>
      <c r="AL1" s="1" t="s">
        <v>18</v>
      </c>
      <c r="AM1" t="s">
        <v>1</v>
      </c>
      <c r="AN1" t="s">
        <v>2</v>
      </c>
      <c r="AO1" t="s">
        <v>3</v>
      </c>
    </row>
    <row r="2" spans="1:41" x14ac:dyDescent="0.3">
      <c r="A2">
        <v>1989</v>
      </c>
      <c r="B2">
        <v>233.10428110000001</v>
      </c>
      <c r="C2">
        <v>1.132673864</v>
      </c>
      <c r="D2">
        <v>32.873699055150603</v>
      </c>
      <c r="E2" s="1"/>
      <c r="F2" s="2">
        <v>1</v>
      </c>
      <c r="G2">
        <v>133.65551590000001</v>
      </c>
      <c r="H2">
        <v>0.50970323900000003</v>
      </c>
      <c r="I2">
        <v>14.8009534917616</v>
      </c>
      <c r="J2" s="1"/>
      <c r="K2">
        <f>(F2-0.44)/(37+1-2*0.44)</f>
        <v>1.5086206896551727E-2</v>
      </c>
      <c r="L2">
        <f>(F2-0.44)/(37+1-2*0.44)</f>
        <v>1.5086206896551727E-2</v>
      </c>
      <c r="M2">
        <f>(F2-0.44)/(37+1-2*0.44)</f>
        <v>1.5086206896551727E-2</v>
      </c>
      <c r="N2" s="1"/>
      <c r="O2">
        <f>-LN(-LN(K2))</f>
        <v>-1.4336488292591345</v>
      </c>
      <c r="P2">
        <f t="shared" ref="P2:Q2" si="0">-LN(-LN(L2))</f>
        <v>-1.4336488292591345</v>
      </c>
      <c r="Q2">
        <f t="shared" si="0"/>
        <v>-1.4336488292591345</v>
      </c>
      <c r="R2" s="1"/>
      <c r="S2">
        <f>SQRT((6*_xlfn.STDEV.S(G2:G38)^2)/PI()^2)</f>
        <v>206.74393228702266</v>
      </c>
      <c r="T2">
        <f t="shared" ref="T2:U2" si="1">SQRT((6*_xlfn.STDEV.S(H2:H38)^2)/PI()^2)</f>
        <v>0.74940326155303694</v>
      </c>
      <c r="U2">
        <f t="shared" si="1"/>
        <v>16.332870571998964</v>
      </c>
      <c r="V2" s="1"/>
      <c r="W2">
        <f>AVERAGE(G2:G38)-0.5772*S2</f>
        <v>383.7044725920386</v>
      </c>
      <c r="X2">
        <f t="shared" ref="X2:Y2" si="2">AVERAGE(H2:H38)-0.5772*T2</f>
        <v>1.2697690693234789</v>
      </c>
      <c r="Y2">
        <f t="shared" si="2"/>
        <v>41.579018039771178</v>
      </c>
      <c r="Z2" s="1"/>
      <c r="AA2">
        <f>$S$2*O2+$W$2</f>
        <v>87.306276112318812</v>
      </c>
      <c r="AB2">
        <f>$T$2*P2+$X$2</f>
        <v>0.19538796075499043</v>
      </c>
      <c r="AC2">
        <f>$U$2*Q2+$Y$2</f>
        <v>18.163417265783892</v>
      </c>
      <c r="AD2" s="1"/>
      <c r="AE2">
        <f>($S$2^2/37)*(1.17+0.196*K2+1.099*K2^2)</f>
        <v>1355.3094743304925</v>
      </c>
      <c r="AF2">
        <f>($T$2^2/37)*(1.17+0.196*L2+1.099*L2^2)</f>
        <v>1.7807546514151906E-2</v>
      </c>
      <c r="AG2">
        <f>($U$2^2/37)*(1.17+0.196*M2+1.099*M2^2)</f>
        <v>8.4585899249946639</v>
      </c>
      <c r="AH2" s="1"/>
      <c r="AI2">
        <f>AA2+(_xlfn.T.INV(0.975,36)*SQRT(AE2))</f>
        <v>161.96959956601802</v>
      </c>
      <c r="AJ2">
        <f t="shared" ref="AJ2:AK2" si="3">AB2+(_xlfn.T.INV(0.975,36)*SQRT(AF2))</f>
        <v>0.46602680125509316</v>
      </c>
      <c r="AK2">
        <f t="shared" si="3"/>
        <v>24.061855904126027</v>
      </c>
      <c r="AL2" s="1"/>
      <c r="AM2">
        <f>AA2-(_xlfn.T.INV(0.975,36)*SQRT(AE2))</f>
        <v>12.642952658619592</v>
      </c>
      <c r="AN2">
        <f t="shared" ref="AN2:AO2" si="4">AB2-(_xlfn.T.INV(0.975,36)*SQRT(AF2))</f>
        <v>-7.5250879745112298E-2</v>
      </c>
      <c r="AO2">
        <f t="shared" si="4"/>
        <v>12.264978627441756</v>
      </c>
    </row>
    <row r="3" spans="1:41" x14ac:dyDescent="0.3">
      <c r="A3">
        <v>1990</v>
      </c>
      <c r="B3">
        <v>377.18039659999999</v>
      </c>
      <c r="C3">
        <v>0.764554858</v>
      </c>
      <c r="D3">
        <v>36.3690375008958</v>
      </c>
      <c r="E3" s="1"/>
      <c r="F3" s="2">
        <v>2</v>
      </c>
      <c r="G3">
        <v>186.94782119999999</v>
      </c>
      <c r="H3">
        <v>0.56633693200000002</v>
      </c>
      <c r="I3">
        <v>17.4651640619945</v>
      </c>
      <c r="J3" s="1"/>
      <c r="K3">
        <f t="shared" ref="K3:K38" si="5">(F3-0.44)/(37+1-2*0.44)</f>
        <v>4.2025862068965525E-2</v>
      </c>
      <c r="L3">
        <f t="shared" ref="L3:L38" si="6">(F3-0.44)/(37+1-2*0.44)</f>
        <v>4.2025862068965525E-2</v>
      </c>
      <c r="M3">
        <f t="shared" ref="M3:M38" si="7">(F3-0.44)/(37+1-2*0.44)</f>
        <v>4.2025862068965525E-2</v>
      </c>
      <c r="N3" s="1"/>
      <c r="O3">
        <f t="shared" ref="O3:O38" si="8">-LN(-LN(K3))</f>
        <v>-1.1535644088229782</v>
      </c>
      <c r="P3">
        <f t="shared" ref="P3:P38" si="9">-LN(-LN(L3))</f>
        <v>-1.1535644088229782</v>
      </c>
      <c r="Q3">
        <f t="shared" ref="Q3:Q38" si="10">-LN(-LN(M3))</f>
        <v>-1.1535644088229782</v>
      </c>
      <c r="R3" s="1"/>
      <c r="V3" s="1"/>
      <c r="Z3" s="1"/>
      <c r="AA3">
        <f t="shared" ref="AA3:AA38" si="11">$S$2*O3+$W$2</f>
        <v>145.21203056562149</v>
      </c>
      <c r="AB3">
        <f t="shared" ref="AB3:AB38" si="12">$T$2*P3+$X$2</f>
        <v>0.40528413894003812</v>
      </c>
      <c r="AC3">
        <f t="shared" ref="AC3:AC38" si="13">$U$2*Q3+$Y$2</f>
        <v>22.737999854000975</v>
      </c>
      <c r="AD3" s="1"/>
      <c r="AE3">
        <f t="shared" ref="AE3:AE38" si="14">($S$2^2/37)*(1.17+0.196*K3+1.099*K3^2)</f>
        <v>1363.362578938413</v>
      </c>
      <c r="AF3">
        <f t="shared" ref="AF3:AF38" si="15">($T$2^2/37)*(1.17+0.196*L3+1.099*L3^2)</f>
        <v>1.7913357059717312E-2</v>
      </c>
      <c r="AG3">
        <f t="shared" ref="AG3:AG38" si="16">($U$2^2/37)*(1.17+0.196*M3+1.099*M3^2)</f>
        <v>8.5088499658131145</v>
      </c>
      <c r="AH3" s="1"/>
      <c r="AI3">
        <f t="shared" ref="AI3:AI38" si="17">AA3+(_xlfn.T.INV(0.975,36)*SQRT(AE3))</f>
        <v>220.09684624540768</v>
      </c>
      <c r="AJ3">
        <f t="shared" ref="AJ3:AJ38" si="18">AB3+(_xlfn.T.INV(0.975,36)*SQRT(AF3))</f>
        <v>0.67672584216410114</v>
      </c>
      <c r="AK3">
        <f t="shared" ref="AK3:AK38" si="19">AC3+(_xlfn.T.INV(0.975,36)*SQRT(AG3))</f>
        <v>28.653936485253297</v>
      </c>
      <c r="AL3" s="1"/>
      <c r="AM3">
        <f t="shared" ref="AM3:AM38" si="20">AA3-(_xlfn.T.INV(0.975,36)*SQRT(AE3))</f>
        <v>70.327214885835289</v>
      </c>
      <c r="AN3">
        <f t="shared" ref="AN3:AN38" si="21">AB3-(_xlfn.T.INV(0.975,36)*SQRT(AF3))</f>
        <v>0.13384243571597515</v>
      </c>
      <c r="AO3">
        <f t="shared" ref="AO3:AO38" si="22">AC3-(_xlfn.T.INV(0.975,36)*SQRT(AG3))</f>
        <v>16.822063222748653</v>
      </c>
    </row>
    <row r="4" spans="1:41" x14ac:dyDescent="0.3">
      <c r="A4">
        <v>1991</v>
      </c>
      <c r="B4">
        <v>559.5975224</v>
      </c>
      <c r="C4">
        <v>0.67960431799999999</v>
      </c>
      <c r="D4">
        <v>53.061644786399903</v>
      </c>
      <c r="E4" s="1"/>
      <c r="F4" s="2">
        <v>3</v>
      </c>
      <c r="G4">
        <v>187.56512849999999</v>
      </c>
      <c r="H4">
        <v>0.67960431799999999</v>
      </c>
      <c r="I4">
        <v>21.061808990308698</v>
      </c>
      <c r="J4" s="1"/>
      <c r="K4">
        <f t="shared" si="5"/>
        <v>6.8965517241379323E-2</v>
      </c>
      <c r="L4">
        <f t="shared" si="6"/>
        <v>6.8965517241379323E-2</v>
      </c>
      <c r="M4">
        <f t="shared" si="7"/>
        <v>6.8965517241379323E-2</v>
      </c>
      <c r="N4" s="1"/>
      <c r="O4">
        <f t="shared" si="8"/>
        <v>-0.98363106779527942</v>
      </c>
      <c r="P4">
        <f t="shared" si="9"/>
        <v>-0.98363106779527942</v>
      </c>
      <c r="Q4">
        <f t="shared" si="10"/>
        <v>-0.98363106779527942</v>
      </c>
      <c r="R4" s="1"/>
      <c r="V4" s="1"/>
      <c r="Z4" s="1"/>
      <c r="AA4">
        <f t="shared" si="11"/>
        <v>180.34471771635955</v>
      </c>
      <c r="AB4">
        <f t="shared" si="12"/>
        <v>0.53263273895280006</v>
      </c>
      <c r="AC4">
        <f t="shared" si="13"/>
        <v>25.513499118873742</v>
      </c>
      <c r="AD4" s="1"/>
      <c r="AE4">
        <f t="shared" si="14"/>
        <v>1373.2584723867992</v>
      </c>
      <c r="AF4">
        <f t="shared" si="15"/>
        <v>1.8043380191864515E-2</v>
      </c>
      <c r="AG4">
        <f t="shared" si="16"/>
        <v>8.5706109925060687</v>
      </c>
      <c r="AH4" s="1"/>
      <c r="AI4">
        <f t="shared" si="17"/>
        <v>255.5008157038848</v>
      </c>
      <c r="AJ4">
        <f t="shared" si="18"/>
        <v>0.80505778347240842</v>
      </c>
      <c r="AK4">
        <f t="shared" si="19"/>
        <v>31.450867183550788</v>
      </c>
      <c r="AL4" s="1"/>
      <c r="AM4">
        <f t="shared" si="20"/>
        <v>105.18861972883431</v>
      </c>
      <c r="AN4">
        <f t="shared" si="21"/>
        <v>0.26020769443319164</v>
      </c>
      <c r="AO4">
        <f t="shared" si="22"/>
        <v>19.576131054196697</v>
      </c>
    </row>
    <row r="5" spans="1:41" x14ac:dyDescent="0.3">
      <c r="A5">
        <v>1992</v>
      </c>
      <c r="B5">
        <v>133.65551590000001</v>
      </c>
      <c r="C5">
        <v>0.84950539800000002</v>
      </c>
      <c r="D5">
        <v>17.4651640619945</v>
      </c>
      <c r="E5" s="1"/>
      <c r="F5" s="2">
        <v>4</v>
      </c>
      <c r="G5">
        <v>188.02386139999999</v>
      </c>
      <c r="H5">
        <v>0.764554858</v>
      </c>
      <c r="I5">
        <v>21.7298103641502</v>
      </c>
      <c r="J5" s="1"/>
      <c r="K5">
        <f t="shared" si="5"/>
        <v>9.5905172413793108E-2</v>
      </c>
      <c r="L5">
        <f t="shared" si="6"/>
        <v>9.5905172413793108E-2</v>
      </c>
      <c r="M5">
        <f t="shared" si="7"/>
        <v>9.5905172413793108E-2</v>
      </c>
      <c r="N5" s="1"/>
      <c r="O5">
        <f t="shared" si="8"/>
        <v>-0.85202752773644619</v>
      </c>
      <c r="P5">
        <f t="shared" si="9"/>
        <v>-0.85202752773644619</v>
      </c>
      <c r="Q5">
        <f t="shared" si="10"/>
        <v>-0.85202752773644619</v>
      </c>
      <c r="R5" s="1"/>
      <c r="V5" s="1"/>
      <c r="Z5" s="1"/>
      <c r="AA5">
        <f t="shared" si="11"/>
        <v>207.55295109101544</v>
      </c>
      <c r="AB5">
        <f t="shared" si="12"/>
        <v>0.63125686110481549</v>
      </c>
      <c r="AC5">
        <f t="shared" si="13"/>
        <v>27.662962705471543</v>
      </c>
      <c r="AD5" s="1"/>
      <c r="AE5">
        <f t="shared" si="14"/>
        <v>1384.997154675651</v>
      </c>
      <c r="AF5">
        <f t="shared" si="15"/>
        <v>1.8197615910593511E-2</v>
      </c>
      <c r="AG5">
        <f t="shared" si="16"/>
        <v>8.6438730050735266</v>
      </c>
      <c r="AH5" s="1"/>
      <c r="AI5">
        <f t="shared" si="17"/>
        <v>283.0295845950115</v>
      </c>
      <c r="AJ5">
        <f t="shared" si="18"/>
        <v>0.90484377944016092</v>
      </c>
      <c r="AK5">
        <f t="shared" si="19"/>
        <v>33.62565323086767</v>
      </c>
      <c r="AL5" s="1"/>
      <c r="AM5">
        <f t="shared" si="20"/>
        <v>132.07631758701939</v>
      </c>
      <c r="AN5">
        <f t="shared" si="21"/>
        <v>0.35766994276947001</v>
      </c>
      <c r="AO5">
        <f t="shared" si="22"/>
        <v>21.700272180075416</v>
      </c>
    </row>
    <row r="6" spans="1:41" x14ac:dyDescent="0.3">
      <c r="A6">
        <v>1993</v>
      </c>
      <c r="B6">
        <v>455.90123010000002</v>
      </c>
      <c r="C6">
        <v>1.189307557</v>
      </c>
      <c r="D6">
        <v>81.488250579999999</v>
      </c>
      <c r="F6" s="2">
        <v>5</v>
      </c>
      <c r="G6">
        <v>189.2131689</v>
      </c>
      <c r="H6">
        <v>0.79004001999999995</v>
      </c>
      <c r="I6">
        <v>26.931684207832799</v>
      </c>
      <c r="J6" t="s">
        <v>7</v>
      </c>
      <c r="K6">
        <f t="shared" si="5"/>
        <v>0.12284482758620689</v>
      </c>
      <c r="L6">
        <f t="shared" si="6"/>
        <v>0.12284482758620689</v>
      </c>
      <c r="M6">
        <f t="shared" si="7"/>
        <v>0.12284482758620689</v>
      </c>
      <c r="O6">
        <f t="shared" si="8"/>
        <v>-0.74042824680020491</v>
      </c>
      <c r="P6">
        <f t="shared" si="9"/>
        <v>-0.74042824680020491</v>
      </c>
      <c r="Q6">
        <f t="shared" si="10"/>
        <v>-0.74042824680020491</v>
      </c>
      <c r="AA6">
        <f t="shared" si="11"/>
        <v>230.62542527217812</v>
      </c>
      <c r="AB6">
        <f t="shared" si="12"/>
        <v>0.71488972622540836</v>
      </c>
      <c r="AC6">
        <f t="shared" si="13"/>
        <v>29.485699316931324</v>
      </c>
      <c r="AE6">
        <f t="shared" si="14"/>
        <v>1398.5786258049686</v>
      </c>
      <c r="AF6">
        <f t="shared" si="15"/>
        <v>1.8376064215904299E-2</v>
      </c>
      <c r="AG6">
        <f t="shared" si="16"/>
        <v>8.7286360035154882</v>
      </c>
      <c r="AI6">
        <f t="shared" si="17"/>
        <v>306.4712230499963</v>
      </c>
      <c r="AJ6">
        <f t="shared" si="18"/>
        <v>0.98981478739179507</v>
      </c>
      <c r="AK6">
        <f t="shared" si="19"/>
        <v>35.477553998380031</v>
      </c>
      <c r="AM6">
        <f t="shared" si="20"/>
        <v>154.77962749435994</v>
      </c>
      <c r="AN6">
        <f t="shared" si="21"/>
        <v>0.43996466505902171</v>
      </c>
      <c r="AO6">
        <f t="shared" si="22"/>
        <v>23.49384463548262</v>
      </c>
    </row>
    <row r="7" spans="1:41" x14ac:dyDescent="0.3">
      <c r="A7">
        <v>1994</v>
      </c>
      <c r="B7">
        <v>614.13576890000002</v>
      </c>
      <c r="C7">
        <v>2.5201993470000001</v>
      </c>
      <c r="D7">
        <v>90.467199901383495</v>
      </c>
      <c r="F7" s="2">
        <v>6</v>
      </c>
      <c r="G7">
        <v>233.10428110000001</v>
      </c>
      <c r="H7">
        <v>0.83251529000000002</v>
      </c>
      <c r="I7">
        <v>28.4673021437013</v>
      </c>
      <c r="J7" t="s">
        <v>8</v>
      </c>
      <c r="K7">
        <f t="shared" si="5"/>
        <v>0.14978448275862069</v>
      </c>
      <c r="L7">
        <f t="shared" si="6"/>
        <v>0.14978448275862069</v>
      </c>
      <c r="M7">
        <f t="shared" si="7"/>
        <v>0.14978448275862069</v>
      </c>
      <c r="O7">
        <f t="shared" si="8"/>
        <v>-0.6410945451330563</v>
      </c>
      <c r="P7">
        <f t="shared" si="9"/>
        <v>-0.6410945451330563</v>
      </c>
      <c r="Q7">
        <f t="shared" si="10"/>
        <v>-0.6410945451330563</v>
      </c>
      <c r="AA7">
        <f t="shared" si="11"/>
        <v>251.16206536347042</v>
      </c>
      <c r="AB7">
        <f t="shared" si="12"/>
        <v>0.78933072623690581</v>
      </c>
      <c r="AC7">
        <f t="shared" si="13"/>
        <v>31.10810380969842</v>
      </c>
      <c r="AE7">
        <f t="shared" si="14"/>
        <v>1414.0028857747523</v>
      </c>
      <c r="AF7">
        <f t="shared" si="15"/>
        <v>1.857872510779689E-2</v>
      </c>
      <c r="AG7">
        <f t="shared" si="16"/>
        <v>8.8248999878319569</v>
      </c>
      <c r="AI7">
        <f t="shared" si="17"/>
        <v>327.42494998686988</v>
      </c>
      <c r="AJ7">
        <f t="shared" si="18"/>
        <v>1.0657676394754274</v>
      </c>
      <c r="AK7">
        <f t="shared" si="19"/>
        <v>37.132908553530115</v>
      </c>
      <c r="AM7">
        <f t="shared" si="20"/>
        <v>174.89918074007096</v>
      </c>
      <c r="AN7">
        <f t="shared" si="21"/>
        <v>0.5128938129983841</v>
      </c>
      <c r="AO7">
        <f t="shared" si="22"/>
        <v>25.083299065866726</v>
      </c>
    </row>
    <row r="8" spans="1:41" x14ac:dyDescent="0.3">
      <c r="A8">
        <v>1995</v>
      </c>
      <c r="B8">
        <v>704.52314320000005</v>
      </c>
      <c r="C8">
        <v>2.3502982669999999</v>
      </c>
      <c r="D8">
        <v>51.151076115810902</v>
      </c>
      <c r="F8" s="2">
        <v>7</v>
      </c>
      <c r="G8">
        <v>250.4540131</v>
      </c>
      <c r="H8">
        <v>0.84101034399999997</v>
      </c>
      <c r="I8">
        <v>31.2098818326191</v>
      </c>
      <c r="K8">
        <f t="shared" si="5"/>
        <v>0.17672413793103448</v>
      </c>
      <c r="L8">
        <f t="shared" si="6"/>
        <v>0.17672413793103448</v>
      </c>
      <c r="M8">
        <f t="shared" si="7"/>
        <v>0.17672413793103448</v>
      </c>
      <c r="O8">
        <f t="shared" si="8"/>
        <v>-0.54994939277534161</v>
      </c>
      <c r="P8">
        <f t="shared" si="9"/>
        <v>-0.54994939277534161</v>
      </c>
      <c r="Q8">
        <f t="shared" si="10"/>
        <v>-0.54994939277534161</v>
      </c>
      <c r="AA8">
        <f t="shared" si="11"/>
        <v>270.00577257080414</v>
      </c>
      <c r="AB8">
        <f t="shared" si="12"/>
        <v>0.85763520068852572</v>
      </c>
      <c r="AC8">
        <f t="shared" si="13"/>
        <v>32.596765786422104</v>
      </c>
      <c r="AE8">
        <f t="shared" si="14"/>
        <v>1431.2699345850015</v>
      </c>
      <c r="AF8">
        <f t="shared" si="15"/>
        <v>1.8805598586271271E-2</v>
      </c>
      <c r="AG8">
        <f t="shared" si="16"/>
        <v>8.9326649580229258</v>
      </c>
      <c r="AI8">
        <f t="shared" si="17"/>
        <v>346.73288509748068</v>
      </c>
      <c r="AJ8">
        <f t="shared" si="18"/>
        <v>1.1357548424162047</v>
      </c>
      <c r="AK8">
        <f t="shared" si="19"/>
        <v>38.658244758978483</v>
      </c>
      <c r="AM8">
        <f t="shared" si="20"/>
        <v>193.27866004412761</v>
      </c>
      <c r="AN8">
        <f t="shared" si="21"/>
        <v>0.57951555896084672</v>
      </c>
      <c r="AO8">
        <f t="shared" si="22"/>
        <v>26.535286813865721</v>
      </c>
    </row>
    <row r="9" spans="1:41" x14ac:dyDescent="0.3">
      <c r="A9">
        <v>1996</v>
      </c>
      <c r="B9">
        <v>678.78312970000002</v>
      </c>
      <c r="C9">
        <v>2.038812955</v>
      </c>
      <c r="D9">
        <v>56.091518413964401</v>
      </c>
      <c r="F9" s="2">
        <v>8</v>
      </c>
      <c r="G9">
        <v>281.95650490000003</v>
      </c>
      <c r="H9">
        <v>0.84950539800000002</v>
      </c>
      <c r="I9">
        <v>32.873699055150603</v>
      </c>
      <c r="K9">
        <f t="shared" si="5"/>
        <v>0.20366379310344829</v>
      </c>
      <c r="L9">
        <f t="shared" si="6"/>
        <v>0.20366379310344829</v>
      </c>
      <c r="M9">
        <f t="shared" si="7"/>
        <v>0.20366379310344829</v>
      </c>
      <c r="O9">
        <f t="shared" si="8"/>
        <v>-0.46454168854718841</v>
      </c>
      <c r="P9">
        <f t="shared" si="9"/>
        <v>-0.46454168854718841</v>
      </c>
      <c r="Q9">
        <f t="shared" si="10"/>
        <v>-0.46454168854718841</v>
      </c>
      <c r="AA9">
        <f t="shared" si="11"/>
        <v>287.66329719053954</v>
      </c>
      <c r="AB9">
        <f t="shared" si="12"/>
        <v>0.92164001279886087</v>
      </c>
      <c r="AC9">
        <f t="shared" si="13"/>
        <v>33.991718765432097</v>
      </c>
      <c r="AE9">
        <f t="shared" si="14"/>
        <v>1450.3797722357158</v>
      </c>
      <c r="AF9">
        <f t="shared" si="15"/>
        <v>1.9056684651327441E-2</v>
      </c>
      <c r="AG9">
        <f t="shared" si="16"/>
        <v>9.0519309140883966</v>
      </c>
      <c r="AI9">
        <f t="shared" si="17"/>
        <v>364.90092867514511</v>
      </c>
      <c r="AJ9">
        <f t="shared" si="18"/>
        <v>1.2016101783505018</v>
      </c>
      <c r="AK9">
        <f t="shared" si="19"/>
        <v>40.093528982403576</v>
      </c>
      <c r="AM9">
        <f t="shared" si="20"/>
        <v>210.42566570593397</v>
      </c>
      <c r="AN9">
        <f t="shared" si="21"/>
        <v>0.64166984724721998</v>
      </c>
      <c r="AO9">
        <f t="shared" si="22"/>
        <v>27.889908548460618</v>
      </c>
    </row>
    <row r="10" spans="1:41" x14ac:dyDescent="0.3">
      <c r="A10">
        <v>1997</v>
      </c>
      <c r="B10">
        <v>518.87789699999996</v>
      </c>
      <c r="C10">
        <v>1.5007928690000001</v>
      </c>
      <c r="D10">
        <v>34.310221216257503</v>
      </c>
      <c r="F10" s="2">
        <v>9</v>
      </c>
      <c r="G10">
        <v>332.01502629999999</v>
      </c>
      <c r="H10">
        <v>0.94748168700000002</v>
      </c>
      <c r="I10">
        <v>33.024863691567099</v>
      </c>
      <c r="K10">
        <f t="shared" si="5"/>
        <v>0.2306034482758621</v>
      </c>
      <c r="L10">
        <f t="shared" si="6"/>
        <v>0.2306034482758621</v>
      </c>
      <c r="M10">
        <f t="shared" si="7"/>
        <v>0.2306034482758621</v>
      </c>
      <c r="O10">
        <f t="shared" si="8"/>
        <v>-0.38325747919238834</v>
      </c>
      <c r="P10">
        <f t="shared" si="9"/>
        <v>-0.38325747919238834</v>
      </c>
      <c r="Q10">
        <f t="shared" si="10"/>
        <v>-0.38325747919238834</v>
      </c>
      <c r="AA10">
        <f t="shared" si="11"/>
        <v>304.46831426539245</v>
      </c>
      <c r="AB10">
        <f t="shared" si="12"/>
        <v>0.98255466440210792</v>
      </c>
      <c r="AC10">
        <f t="shared" si="13"/>
        <v>35.319323236371311</v>
      </c>
      <c r="AE10">
        <f t="shared" si="14"/>
        <v>1471.3323987268966</v>
      </c>
      <c r="AF10">
        <f t="shared" si="15"/>
        <v>1.933198330296541E-2</v>
      </c>
      <c r="AG10">
        <f t="shared" si="16"/>
        <v>9.1826978560283745</v>
      </c>
      <c r="AI10">
        <f t="shared" si="17"/>
        <v>382.26184441471327</v>
      </c>
      <c r="AJ10">
        <f t="shared" si="18"/>
        <v>1.2645398456682231</v>
      </c>
      <c r="AK10">
        <f t="shared" si="19"/>
        <v>41.465049716526451</v>
      </c>
      <c r="AM10">
        <f t="shared" si="20"/>
        <v>226.67478411607163</v>
      </c>
      <c r="AN10">
        <f t="shared" si="21"/>
        <v>0.70056948313599265</v>
      </c>
      <c r="AO10">
        <f t="shared" si="22"/>
        <v>29.17359675621617</v>
      </c>
    </row>
    <row r="11" spans="1:41" x14ac:dyDescent="0.3">
      <c r="A11">
        <v>1998</v>
      </c>
      <c r="B11">
        <v>443.44181759999998</v>
      </c>
      <c r="C11">
        <v>1.2742580969999999</v>
      </c>
      <c r="D11">
        <v>59.878989995920499</v>
      </c>
      <c r="F11" s="2">
        <v>10</v>
      </c>
      <c r="G11">
        <v>339.91542650000002</v>
      </c>
      <c r="H11">
        <v>1.132673864</v>
      </c>
      <c r="I11">
        <v>33.091900140577998</v>
      </c>
      <c r="K11">
        <f t="shared" si="5"/>
        <v>0.25754310344827591</v>
      </c>
      <c r="L11">
        <f t="shared" si="6"/>
        <v>0.25754310344827591</v>
      </c>
      <c r="M11">
        <f t="shared" si="7"/>
        <v>0.25754310344827591</v>
      </c>
      <c r="O11">
        <f t="shared" si="8"/>
        <v>-0.30495811418672236</v>
      </c>
      <c r="P11">
        <f t="shared" si="9"/>
        <v>-0.30495811418672236</v>
      </c>
      <c r="Q11">
        <f t="shared" si="10"/>
        <v>-0.30495811418672236</v>
      </c>
      <c r="AA11">
        <f t="shared" si="11"/>
        <v>320.65623288224072</v>
      </c>
      <c r="AB11">
        <f t="shared" si="12"/>
        <v>1.0412324639148858</v>
      </c>
      <c r="AC11">
        <f t="shared" si="13"/>
        <v>36.598176630878562</v>
      </c>
      <c r="AE11">
        <f t="shared" si="14"/>
        <v>1494.1278140585425</v>
      </c>
      <c r="AF11">
        <f t="shared" si="15"/>
        <v>1.9631494541185172E-2</v>
      </c>
      <c r="AG11">
        <f t="shared" si="16"/>
        <v>9.3249657838428543</v>
      </c>
      <c r="AI11">
        <f t="shared" si="17"/>
        <v>399.05007603274549</v>
      </c>
      <c r="AJ11">
        <f t="shared" si="18"/>
        <v>1.3253936535216733</v>
      </c>
      <c r="AK11">
        <f t="shared" si="19"/>
        <v>42.791328128264261</v>
      </c>
      <c r="AM11">
        <f t="shared" si="20"/>
        <v>242.26238973173594</v>
      </c>
      <c r="AN11">
        <f t="shared" si="21"/>
        <v>0.75707127430809829</v>
      </c>
      <c r="AO11">
        <f t="shared" si="22"/>
        <v>30.405025133492863</v>
      </c>
    </row>
    <row r="12" spans="1:41" x14ac:dyDescent="0.3">
      <c r="A12">
        <v>1999</v>
      </c>
      <c r="B12">
        <v>517.68858939999996</v>
      </c>
      <c r="C12">
        <v>1.302574943</v>
      </c>
      <c r="D12">
        <v>45.971423710000003</v>
      </c>
      <c r="F12" s="2">
        <v>11</v>
      </c>
      <c r="G12">
        <v>351.29596709999998</v>
      </c>
      <c r="H12">
        <v>1.132673864</v>
      </c>
      <c r="I12">
        <v>34.310221216257503</v>
      </c>
      <c r="K12">
        <f t="shared" si="5"/>
        <v>0.28448275862068967</v>
      </c>
      <c r="L12">
        <f t="shared" si="6"/>
        <v>0.28448275862068967</v>
      </c>
      <c r="M12">
        <f t="shared" si="7"/>
        <v>0.28448275862068967</v>
      </c>
      <c r="O12">
        <f t="shared" si="8"/>
        <v>-0.2287936630402099</v>
      </c>
      <c r="P12">
        <f t="shared" si="9"/>
        <v>-0.2287936630402099</v>
      </c>
      <c r="Q12">
        <f t="shared" si="10"/>
        <v>-0.2287936630402099</v>
      </c>
      <c r="AA12">
        <f t="shared" si="11"/>
        <v>336.40277101275353</v>
      </c>
      <c r="AB12">
        <f t="shared" si="12"/>
        <v>1.0983103520184792</v>
      </c>
      <c r="AC12">
        <f t="shared" si="13"/>
        <v>37.842160753641885</v>
      </c>
      <c r="AE12">
        <f t="shared" si="14"/>
        <v>1518.7660182306547</v>
      </c>
      <c r="AF12">
        <f t="shared" si="15"/>
        <v>1.9955218365986727E-2</v>
      </c>
      <c r="AG12">
        <f t="shared" si="16"/>
        <v>9.4787346975318378</v>
      </c>
      <c r="AI12">
        <f t="shared" si="17"/>
        <v>415.44032948839032</v>
      </c>
      <c r="AJ12">
        <f t="shared" si="18"/>
        <v>1.3848048742596477</v>
      </c>
      <c r="AK12">
        <f t="shared" si="19"/>
        <v>44.086166072826799</v>
      </c>
      <c r="AM12">
        <f t="shared" si="20"/>
        <v>257.36521253711675</v>
      </c>
      <c r="AN12">
        <f t="shared" si="21"/>
        <v>0.81181582977731059</v>
      </c>
      <c r="AO12">
        <f t="shared" si="22"/>
        <v>31.59815543445697</v>
      </c>
    </row>
    <row r="13" spans="1:41" x14ac:dyDescent="0.3">
      <c r="A13">
        <v>2000</v>
      </c>
      <c r="B13">
        <v>281.95650490000003</v>
      </c>
      <c r="C13">
        <v>1.132673864</v>
      </c>
      <c r="D13">
        <v>21.061808990308698</v>
      </c>
      <c r="F13" s="2">
        <v>12</v>
      </c>
      <c r="G13">
        <v>353.72272090000001</v>
      </c>
      <c r="H13">
        <v>1.1496639719999999</v>
      </c>
      <c r="I13">
        <v>34.547506795560103</v>
      </c>
      <c r="K13">
        <f t="shared" si="5"/>
        <v>0.31142241379310348</v>
      </c>
      <c r="L13">
        <f t="shared" si="6"/>
        <v>0.31142241379310348</v>
      </c>
      <c r="M13">
        <f t="shared" si="7"/>
        <v>0.31142241379310348</v>
      </c>
      <c r="O13">
        <f t="shared" si="8"/>
        <v>-0.15409785958123798</v>
      </c>
      <c r="P13">
        <f t="shared" si="9"/>
        <v>-0.15409785958123798</v>
      </c>
      <c r="Q13">
        <f t="shared" si="10"/>
        <v>-0.15409785958123798</v>
      </c>
      <c r="AA13">
        <f t="shared" si="11"/>
        <v>351.8456751452</v>
      </c>
      <c r="AB13">
        <f t="shared" si="12"/>
        <v>1.1542876307549572</v>
      </c>
      <c r="AC13">
        <f t="shared" si="13"/>
        <v>39.062157643808746</v>
      </c>
      <c r="AE13">
        <f t="shared" si="14"/>
        <v>1545.2470112432322</v>
      </c>
      <c r="AF13">
        <f t="shared" si="15"/>
        <v>2.0303154777370082E-2</v>
      </c>
      <c r="AG13">
        <f t="shared" si="16"/>
        <v>9.644004597095325</v>
      </c>
      <c r="AI13">
        <f t="shared" si="17"/>
        <v>431.56929994202267</v>
      </c>
      <c r="AJ13">
        <f t="shared" si="18"/>
        <v>1.4432689990817689</v>
      </c>
      <c r="AK13">
        <f t="shared" si="19"/>
        <v>45.360362533949775</v>
      </c>
      <c r="AM13">
        <f t="shared" si="20"/>
        <v>272.12205034837734</v>
      </c>
      <c r="AN13">
        <f t="shared" si="21"/>
        <v>0.86530626242814557</v>
      </c>
      <c r="AO13">
        <f t="shared" si="22"/>
        <v>32.763952753667716</v>
      </c>
    </row>
    <row r="14" spans="1:41" x14ac:dyDescent="0.3">
      <c r="A14">
        <v>2001</v>
      </c>
      <c r="B14">
        <v>351.29596709999998</v>
      </c>
      <c r="C14">
        <v>1.9538624149999999</v>
      </c>
      <c r="D14">
        <v>49.7272600734821</v>
      </c>
      <c r="F14" s="2">
        <v>13</v>
      </c>
      <c r="G14">
        <v>377.18039659999999</v>
      </c>
      <c r="H14">
        <v>1.189307557</v>
      </c>
      <c r="I14">
        <v>36.3690375008958</v>
      </c>
      <c r="K14">
        <f t="shared" si="5"/>
        <v>0.33836206896551729</v>
      </c>
      <c r="L14">
        <f t="shared" si="6"/>
        <v>0.33836206896551729</v>
      </c>
      <c r="M14">
        <f t="shared" si="7"/>
        <v>0.33836206896551729</v>
      </c>
      <c r="O14">
        <f t="shared" si="8"/>
        <v>-8.0324588136533703E-2</v>
      </c>
      <c r="P14">
        <f t="shared" si="9"/>
        <v>-8.0324588136533703E-2</v>
      </c>
      <c r="Q14">
        <f t="shared" si="10"/>
        <v>-8.0324588136533703E-2</v>
      </c>
      <c r="AA14">
        <f t="shared" si="11"/>
        <v>367.09785138135607</v>
      </c>
      <c r="AB14">
        <f t="shared" si="12"/>
        <v>1.2095735609910561</v>
      </c>
      <c r="AC14">
        <f t="shared" si="13"/>
        <v>40.267086937988047</v>
      </c>
      <c r="AE14">
        <f t="shared" si="14"/>
        <v>1573.5707930962756</v>
      </c>
      <c r="AF14">
        <f t="shared" si="15"/>
        <v>2.0675303775335226E-2</v>
      </c>
      <c r="AG14">
        <f t="shared" si="16"/>
        <v>9.8207754825333158</v>
      </c>
      <c r="AI14">
        <f t="shared" si="17"/>
        <v>447.54881002555447</v>
      </c>
      <c r="AJ14">
        <f t="shared" si="18"/>
        <v>1.5011913615044461</v>
      </c>
      <c r="AK14">
        <f t="shared" si="19"/>
        <v>46.62275155359918</v>
      </c>
      <c r="AM14">
        <f t="shared" si="20"/>
        <v>286.64689273715766</v>
      </c>
      <c r="AN14">
        <f t="shared" si="21"/>
        <v>0.91795576047766603</v>
      </c>
      <c r="AO14">
        <f t="shared" si="22"/>
        <v>33.911422322376914</v>
      </c>
    </row>
    <row r="15" spans="1:41" x14ac:dyDescent="0.3">
      <c r="A15">
        <v>2002</v>
      </c>
      <c r="B15">
        <v>1080.004529</v>
      </c>
      <c r="C15">
        <v>1.8859019829999999</v>
      </c>
      <c r="D15">
        <v>82.413960103706799</v>
      </c>
      <c r="F15" s="2">
        <v>14</v>
      </c>
      <c r="G15">
        <v>398.26228889999999</v>
      </c>
      <c r="H15">
        <v>1.2176244030000001</v>
      </c>
      <c r="I15">
        <v>43.600316045967098</v>
      </c>
      <c r="K15">
        <f t="shared" si="5"/>
        <v>0.36530172413793105</v>
      </c>
      <c r="L15">
        <f t="shared" si="6"/>
        <v>0.36530172413793105</v>
      </c>
      <c r="M15">
        <f t="shared" si="7"/>
        <v>0.36530172413793105</v>
      </c>
      <c r="O15">
        <f t="shared" si="8"/>
        <v>-7.0070188100635825E-3</v>
      </c>
      <c r="P15">
        <f t="shared" si="9"/>
        <v>-7.0070188100635825E-3</v>
      </c>
      <c r="Q15">
        <f t="shared" si="10"/>
        <v>-7.0070188100635825E-3</v>
      </c>
      <c r="AA15">
        <f t="shared" si="11"/>
        <v>382.2558139696369</v>
      </c>
      <c r="AB15">
        <f t="shared" si="12"/>
        <v>1.2645179865734537</v>
      </c>
      <c r="AC15">
        <f t="shared" si="13"/>
        <v>41.464573308450845</v>
      </c>
      <c r="AE15">
        <f t="shared" si="14"/>
        <v>1603.7373637897849</v>
      </c>
      <c r="AF15">
        <f t="shared" si="15"/>
        <v>2.1071665359882169E-2</v>
      </c>
      <c r="AG15">
        <f t="shared" si="16"/>
        <v>10.009047353845812</v>
      </c>
      <c r="AI15">
        <f t="shared" si="17"/>
        <v>463.47426530840346</v>
      </c>
      <c r="AJ15">
        <f t="shared" si="18"/>
        <v>1.558917786646226</v>
      </c>
      <c r="AK15">
        <f t="shared" si="19"/>
        <v>47.880870217869436</v>
      </c>
      <c r="AM15">
        <f t="shared" si="20"/>
        <v>301.03736263087035</v>
      </c>
      <c r="AN15">
        <f t="shared" si="21"/>
        <v>0.97011818650068138</v>
      </c>
      <c r="AO15">
        <f t="shared" si="22"/>
        <v>35.048276399032254</v>
      </c>
    </row>
    <row r="16" spans="1:41" x14ac:dyDescent="0.3">
      <c r="A16">
        <v>2003</v>
      </c>
      <c r="B16">
        <v>188.02386139999999</v>
      </c>
      <c r="C16">
        <v>1.5574265629999999</v>
      </c>
      <c r="D16">
        <v>14.8009534917616</v>
      </c>
      <c r="F16" s="2">
        <v>15</v>
      </c>
      <c r="G16">
        <v>433.58755500000001</v>
      </c>
      <c r="H16">
        <v>1.2331986690000001</v>
      </c>
      <c r="I16">
        <v>44.8346233397315</v>
      </c>
      <c r="K16">
        <f t="shared" si="5"/>
        <v>0.39224137931034486</v>
      </c>
      <c r="L16">
        <f t="shared" si="6"/>
        <v>0.39224137931034486</v>
      </c>
      <c r="M16">
        <f t="shared" si="7"/>
        <v>0.39224137931034486</v>
      </c>
      <c r="O16">
        <f t="shared" si="8"/>
        <v>6.6270296970009246E-2</v>
      </c>
      <c r="P16">
        <f t="shared" si="9"/>
        <v>6.6270296970009246E-2</v>
      </c>
      <c r="Q16">
        <f t="shared" si="10"/>
        <v>6.6270296970009246E-2</v>
      </c>
      <c r="AA16">
        <f t="shared" si="11"/>
        <v>397.4054543814471</v>
      </c>
      <c r="AB16">
        <f t="shared" si="12"/>
        <v>1.3194322460168921</v>
      </c>
      <c r="AC16">
        <f t="shared" si="13"/>
        <v>42.661402222950272</v>
      </c>
      <c r="AE16">
        <f t="shared" si="14"/>
        <v>1635.7467233237594</v>
      </c>
      <c r="AF16">
        <f t="shared" si="15"/>
        <v>2.1492239531010902E-2</v>
      </c>
      <c r="AG16">
        <f t="shared" si="16"/>
        <v>10.20882021103281</v>
      </c>
      <c r="AI16">
        <f t="shared" si="17"/>
        <v>479.43042999275553</v>
      </c>
      <c r="AJ16">
        <f t="shared" si="18"/>
        <v>1.6167555269080787</v>
      </c>
      <c r="AK16">
        <f t="shared" si="19"/>
        <v>49.141414939700589</v>
      </c>
      <c r="AM16">
        <f t="shared" si="20"/>
        <v>315.38047877013867</v>
      </c>
      <c r="AN16">
        <f t="shared" si="21"/>
        <v>1.0221089651257056</v>
      </c>
      <c r="AO16">
        <f t="shared" si="22"/>
        <v>36.181389506199956</v>
      </c>
    </row>
    <row r="17" spans="1:41" x14ac:dyDescent="0.3">
      <c r="A17">
        <v>2004</v>
      </c>
      <c r="B17">
        <v>480.36698560000002</v>
      </c>
      <c r="C17">
        <v>1.5262780309999999</v>
      </c>
      <c r="D17">
        <v>48.097729100013602</v>
      </c>
      <c r="F17" s="2">
        <v>16</v>
      </c>
      <c r="G17">
        <v>443.44181759999998</v>
      </c>
      <c r="H17">
        <v>1.2742580969999999</v>
      </c>
      <c r="I17">
        <v>45.971423710000003</v>
      </c>
      <c r="K17">
        <f t="shared" si="5"/>
        <v>0.41918103448275867</v>
      </c>
      <c r="L17">
        <f t="shared" si="6"/>
        <v>0.41918103448275867</v>
      </c>
      <c r="M17">
        <f t="shared" si="7"/>
        <v>0.41918103448275867</v>
      </c>
      <c r="O17">
        <f t="shared" si="8"/>
        <v>0.13989170325081973</v>
      </c>
      <c r="P17">
        <f t="shared" si="9"/>
        <v>0.13989170325081973</v>
      </c>
      <c r="Q17">
        <f t="shared" si="10"/>
        <v>0.13989170325081973</v>
      </c>
      <c r="AA17">
        <f t="shared" si="11"/>
        <v>412.62623341644235</v>
      </c>
      <c r="AB17">
        <f t="shared" si="12"/>
        <v>1.3746043680038529</v>
      </c>
      <c r="AC17">
        <f t="shared" si="13"/>
        <v>43.863851123063306</v>
      </c>
      <c r="AE17">
        <f t="shared" si="14"/>
        <v>1669.5988716982001</v>
      </c>
      <c r="AF17">
        <f t="shared" si="15"/>
        <v>2.1937026288721431E-2</v>
      </c>
      <c r="AG17">
        <f t="shared" si="16"/>
        <v>10.420094054094312</v>
      </c>
      <c r="AI17">
        <f t="shared" si="17"/>
        <v>495.49562526454883</v>
      </c>
      <c r="AJ17">
        <f t="shared" si="18"/>
        <v>1.6749884801125003</v>
      </c>
      <c r="AK17">
        <f t="shared" si="19"/>
        <v>50.410573130635122</v>
      </c>
      <c r="AM17">
        <f t="shared" si="20"/>
        <v>329.75684156833586</v>
      </c>
      <c r="AN17">
        <f t="shared" si="21"/>
        <v>1.0742202558952054</v>
      </c>
      <c r="AO17">
        <f t="shared" si="22"/>
        <v>37.31712911549149</v>
      </c>
    </row>
    <row r="18" spans="1:41" x14ac:dyDescent="0.3">
      <c r="A18">
        <v>2005</v>
      </c>
      <c r="B18">
        <v>801.42339219999997</v>
      </c>
      <c r="C18">
        <v>1.384693798</v>
      </c>
      <c r="D18">
        <v>61.653759605117799</v>
      </c>
      <c r="F18" s="2">
        <v>17</v>
      </c>
      <c r="G18">
        <v>453.80578350000002</v>
      </c>
      <c r="H18">
        <v>1.302574943</v>
      </c>
      <c r="I18">
        <v>46.595694577134203</v>
      </c>
      <c r="K18">
        <f t="shared" si="5"/>
        <v>0.44612068965517243</v>
      </c>
      <c r="L18">
        <f t="shared" si="6"/>
        <v>0.44612068965517243</v>
      </c>
      <c r="M18">
        <f t="shared" si="7"/>
        <v>0.44612068965517243</v>
      </c>
      <c r="O18">
        <f t="shared" si="8"/>
        <v>0.21422623036565491</v>
      </c>
      <c r="P18">
        <f t="shared" si="9"/>
        <v>0.21422623036565491</v>
      </c>
      <c r="Q18">
        <f t="shared" si="10"/>
        <v>0.21422623036565491</v>
      </c>
      <c r="AA18">
        <f t="shared" si="11"/>
        <v>427.99444585685967</v>
      </c>
      <c r="AB18">
        <f t="shared" si="12"/>
        <v>1.4303109050697129</v>
      </c>
      <c r="AC18">
        <f t="shared" si="13"/>
        <v>45.077947333460656</v>
      </c>
      <c r="AE18">
        <f t="shared" si="14"/>
        <v>1705.293808913106</v>
      </c>
      <c r="AF18">
        <f t="shared" si="15"/>
        <v>2.2406025633013752E-2</v>
      </c>
      <c r="AG18">
        <f t="shared" si="16"/>
        <v>10.642868883030316</v>
      </c>
      <c r="AI18">
        <f t="shared" si="17"/>
        <v>511.7449997749406</v>
      </c>
      <c r="AJ18">
        <f t="shared" si="18"/>
        <v>1.7338890443108179</v>
      </c>
      <c r="AK18">
        <f t="shared" si="19"/>
        <v>51.694281570434534</v>
      </c>
      <c r="AM18">
        <f t="shared" si="20"/>
        <v>344.24389193877875</v>
      </c>
      <c r="AN18">
        <f t="shared" si="21"/>
        <v>1.1267327658286079</v>
      </c>
      <c r="AO18">
        <f t="shared" si="22"/>
        <v>38.461613096486779</v>
      </c>
    </row>
    <row r="19" spans="1:41" x14ac:dyDescent="0.3">
      <c r="A19">
        <v>2006</v>
      </c>
      <c r="B19">
        <v>189.2131689</v>
      </c>
      <c r="C19">
        <v>1.2176244030000001</v>
      </c>
      <c r="D19">
        <v>28.4673021437013</v>
      </c>
      <c r="F19" s="2">
        <v>18</v>
      </c>
      <c r="G19">
        <v>455.90123010000002</v>
      </c>
      <c r="H19">
        <v>1.384693798</v>
      </c>
      <c r="I19">
        <v>48.097729100013602</v>
      </c>
      <c r="K19">
        <f t="shared" si="5"/>
        <v>0.47306034482758619</v>
      </c>
      <c r="L19">
        <f t="shared" si="6"/>
        <v>0.47306034482758619</v>
      </c>
      <c r="M19">
        <f t="shared" si="7"/>
        <v>0.47306034482758619</v>
      </c>
      <c r="O19">
        <f t="shared" si="8"/>
        <v>0.28964089674800109</v>
      </c>
      <c r="P19">
        <f t="shared" si="9"/>
        <v>0.28964089674800109</v>
      </c>
      <c r="Q19">
        <f t="shared" si="10"/>
        <v>0.28964089674800109</v>
      </c>
      <c r="AA19">
        <f t="shared" si="11"/>
        <v>443.58597053685986</v>
      </c>
      <c r="AB19">
        <f t="shared" si="12"/>
        <v>1.4868269020255773</v>
      </c>
      <c r="AC19">
        <f t="shared" si="13"/>
        <v>46.309685318713996</v>
      </c>
      <c r="AE19">
        <f t="shared" si="14"/>
        <v>1742.8315349684779</v>
      </c>
      <c r="AF19">
        <f t="shared" si="15"/>
        <v>2.2899237563887866E-2</v>
      </c>
      <c r="AG19">
        <f t="shared" si="16"/>
        <v>10.877144697840825</v>
      </c>
      <c r="AI19">
        <f t="shared" si="17"/>
        <v>528.25328508602252</v>
      </c>
      <c r="AJ19">
        <f t="shared" si="18"/>
        <v>1.7937281056942385</v>
      </c>
      <c r="AK19">
        <f t="shared" si="19"/>
        <v>52.998444088622527</v>
      </c>
      <c r="AM19">
        <f t="shared" si="20"/>
        <v>358.91865598769721</v>
      </c>
      <c r="AN19">
        <f t="shared" si="21"/>
        <v>1.1799256983569162</v>
      </c>
      <c r="AO19">
        <f t="shared" si="22"/>
        <v>39.620926548805464</v>
      </c>
    </row>
    <row r="20" spans="1:41" x14ac:dyDescent="0.3">
      <c r="A20">
        <v>2007</v>
      </c>
      <c r="B20">
        <v>332.01502629999999</v>
      </c>
      <c r="C20">
        <v>0.79004001999999995</v>
      </c>
      <c r="D20">
        <v>33.091900140577998</v>
      </c>
      <c r="F20" s="2">
        <v>19</v>
      </c>
      <c r="G20">
        <v>480.36698560000002</v>
      </c>
      <c r="H20">
        <v>1.4073472760000001</v>
      </c>
      <c r="I20">
        <v>49.7272600734821</v>
      </c>
      <c r="K20">
        <f t="shared" si="5"/>
        <v>0.5</v>
      </c>
      <c r="L20">
        <f t="shared" si="6"/>
        <v>0.5</v>
      </c>
      <c r="M20">
        <f t="shared" si="7"/>
        <v>0.5</v>
      </c>
      <c r="O20">
        <f t="shared" si="8"/>
        <v>0.36651292058166435</v>
      </c>
      <c r="P20">
        <f t="shared" si="9"/>
        <v>0.36651292058166435</v>
      </c>
      <c r="Q20">
        <f t="shared" si="10"/>
        <v>0.36651292058166435</v>
      </c>
      <c r="AA20">
        <f t="shared" si="11"/>
        <v>459.47879502709316</v>
      </c>
      <c r="AB20">
        <f t="shared" si="12"/>
        <v>1.5444350474087074</v>
      </c>
      <c r="AC20">
        <f t="shared" si="13"/>
        <v>47.565226134596834</v>
      </c>
      <c r="AE20">
        <f t="shared" si="14"/>
        <v>1782.2120498643158</v>
      </c>
      <c r="AF20">
        <f t="shared" si="15"/>
        <v>2.341666208134378E-2</v>
      </c>
      <c r="AG20">
        <f t="shared" si="16"/>
        <v>11.122921498525837</v>
      </c>
      <c r="AI20">
        <f t="shared" si="17"/>
        <v>545.09732526102925</v>
      </c>
      <c r="AJ20">
        <f t="shared" si="18"/>
        <v>1.8547842078262029</v>
      </c>
      <c r="AK20">
        <f t="shared" si="19"/>
        <v>54.329131403334124</v>
      </c>
      <c r="AM20">
        <f t="shared" si="20"/>
        <v>373.86026479315706</v>
      </c>
      <c r="AN20">
        <f t="shared" si="21"/>
        <v>1.2340858869912119</v>
      </c>
      <c r="AO20">
        <f t="shared" si="22"/>
        <v>40.801320865859545</v>
      </c>
    </row>
    <row r="21" spans="1:41" x14ac:dyDescent="0.3">
      <c r="A21">
        <v>2008</v>
      </c>
      <c r="B21">
        <v>527.88265420000005</v>
      </c>
      <c r="C21">
        <v>0.50970323900000003</v>
      </c>
      <c r="D21">
        <v>73.247511252385195</v>
      </c>
      <c r="F21" s="2">
        <v>20</v>
      </c>
      <c r="G21">
        <v>490.90085249999998</v>
      </c>
      <c r="H21">
        <v>1.5007928690000001</v>
      </c>
      <c r="I21">
        <v>51.151076115810902</v>
      </c>
      <c r="K21">
        <f t="shared" si="5"/>
        <v>0.52693965517241381</v>
      </c>
      <c r="L21">
        <f t="shared" si="6"/>
        <v>0.52693965517241381</v>
      </c>
      <c r="M21">
        <f t="shared" si="7"/>
        <v>0.52693965517241381</v>
      </c>
      <c r="O21">
        <f t="shared" si="8"/>
        <v>0.44524195631020602</v>
      </c>
      <c r="P21">
        <f t="shared" si="9"/>
        <v>0.44524195631020602</v>
      </c>
      <c r="Q21">
        <f t="shared" si="10"/>
        <v>0.44524195631020602</v>
      </c>
      <c r="AA21">
        <f t="shared" si="11"/>
        <v>475.75554545877731</v>
      </c>
      <c r="AB21">
        <f t="shared" si="12"/>
        <v>1.603434843562602</v>
      </c>
      <c r="AC21">
        <f t="shared" si="13"/>
        <v>48.851097285409388</v>
      </c>
      <c r="AE21">
        <f t="shared" si="14"/>
        <v>1823.435353600619</v>
      </c>
      <c r="AF21">
        <f t="shared" si="15"/>
        <v>2.3958299185381487E-2</v>
      </c>
      <c r="AG21">
        <f t="shared" si="16"/>
        <v>11.380199285085352</v>
      </c>
      <c r="AI21">
        <f t="shared" si="17"/>
        <v>562.35861111434804</v>
      </c>
      <c r="AJ21">
        <f t="shared" si="18"/>
        <v>1.9173527377655379</v>
      </c>
      <c r="AK21">
        <f t="shared" si="19"/>
        <v>55.692781328291225</v>
      </c>
      <c r="AM21">
        <f t="shared" si="20"/>
        <v>389.15247980320652</v>
      </c>
      <c r="AN21">
        <f t="shared" si="21"/>
        <v>1.2895169493596661</v>
      </c>
      <c r="AO21">
        <f t="shared" si="22"/>
        <v>42.00941324252755</v>
      </c>
    </row>
    <row r="22" spans="1:41" x14ac:dyDescent="0.3">
      <c r="A22">
        <v>2009</v>
      </c>
      <c r="B22">
        <v>506.30521709999999</v>
      </c>
      <c r="C22">
        <v>2.6306350479999998</v>
      </c>
      <c r="D22">
        <v>75.528389137690397</v>
      </c>
      <c r="F22" s="2">
        <v>21</v>
      </c>
      <c r="G22">
        <v>506.30521709999999</v>
      </c>
      <c r="H22">
        <v>1.5262780309999999</v>
      </c>
      <c r="I22">
        <v>52.686067199999997</v>
      </c>
      <c r="K22">
        <f t="shared" si="5"/>
        <v>0.55387931034482762</v>
      </c>
      <c r="L22">
        <f t="shared" si="6"/>
        <v>0.55387931034482762</v>
      </c>
      <c r="M22">
        <f t="shared" si="7"/>
        <v>0.55387931034482762</v>
      </c>
      <c r="O22">
        <f t="shared" si="8"/>
        <v>0.52626339645226639</v>
      </c>
      <c r="P22">
        <f t="shared" si="9"/>
        <v>0.52626339645226639</v>
      </c>
      <c r="Q22">
        <f t="shared" si="10"/>
        <v>0.52626339645226639</v>
      </c>
      <c r="AA22">
        <f t="shared" si="11"/>
        <v>492.50623659330449</v>
      </c>
      <c r="AB22">
        <f t="shared" si="12"/>
        <v>1.6641525750607862</v>
      </c>
      <c r="AC22">
        <f t="shared" si="13"/>
        <v>50.174409980806622</v>
      </c>
      <c r="AE22">
        <f t="shared" si="14"/>
        <v>1866.5014461773881</v>
      </c>
      <c r="AF22">
        <f t="shared" si="15"/>
        <v>2.452414887600099E-2</v>
      </c>
      <c r="AG22">
        <f t="shared" si="16"/>
        <v>11.648978057519372</v>
      </c>
      <c r="AI22">
        <f t="shared" si="17"/>
        <v>580.12603422795939</v>
      </c>
      <c r="AJ22">
        <f t="shared" si="18"/>
        <v>1.9817559087966856</v>
      </c>
      <c r="AK22">
        <f t="shared" si="19"/>
        <v>57.096416341432416</v>
      </c>
      <c r="AM22">
        <f t="shared" si="20"/>
        <v>404.88643895864959</v>
      </c>
      <c r="AN22">
        <f t="shared" si="21"/>
        <v>1.3465492413248867</v>
      </c>
      <c r="AO22">
        <f t="shared" si="22"/>
        <v>43.252403620180829</v>
      </c>
    </row>
    <row r="23" spans="1:41" x14ac:dyDescent="0.3">
      <c r="A23">
        <v>2010</v>
      </c>
      <c r="B23">
        <v>552.60326120000002</v>
      </c>
      <c r="C23">
        <v>2.2313675110000002</v>
      </c>
      <c r="D23">
        <v>79.067017448698607</v>
      </c>
      <c r="F23" s="2">
        <v>22</v>
      </c>
      <c r="G23">
        <v>517.68858939999996</v>
      </c>
      <c r="H23">
        <v>1.5574265629999999</v>
      </c>
      <c r="I23">
        <v>53.061644786399903</v>
      </c>
      <c r="K23">
        <f t="shared" si="5"/>
        <v>0.58081896551724144</v>
      </c>
      <c r="L23">
        <f t="shared" si="6"/>
        <v>0.58081896551724144</v>
      </c>
      <c r="M23">
        <f t="shared" si="7"/>
        <v>0.58081896551724144</v>
      </c>
      <c r="O23">
        <f t="shared" si="8"/>
        <v>0.61006387825584041</v>
      </c>
      <c r="P23">
        <f t="shared" si="9"/>
        <v>0.61006387825584041</v>
      </c>
      <c r="Q23">
        <f t="shared" si="10"/>
        <v>0.61006387825584041</v>
      </c>
      <c r="AA23">
        <f t="shared" si="11"/>
        <v>509.83147772892249</v>
      </c>
      <c r="AB23">
        <f t="shared" si="12"/>
        <v>1.7269529294441006</v>
      </c>
      <c r="AC23">
        <f t="shared" si="13"/>
        <v>51.543112403975556</v>
      </c>
      <c r="AE23">
        <f t="shared" si="14"/>
        <v>1911.4103275946227</v>
      </c>
      <c r="AF23">
        <f t="shared" si="15"/>
        <v>2.5114211153202278E-2</v>
      </c>
      <c r="AG23">
        <f t="shared" si="16"/>
        <v>11.929257815827894</v>
      </c>
      <c r="AI23">
        <f t="shared" si="17"/>
        <v>598.4990963346105</v>
      </c>
      <c r="AJ23">
        <f t="shared" si="18"/>
        <v>2.0483543937685473</v>
      </c>
      <c r="AK23">
        <f t="shared" si="19"/>
        <v>58.547897127734885</v>
      </c>
      <c r="AM23">
        <f t="shared" si="20"/>
        <v>421.16385912323449</v>
      </c>
      <c r="AN23">
        <f t="shared" si="21"/>
        <v>1.4055514651196539</v>
      </c>
      <c r="AO23">
        <f t="shared" si="22"/>
        <v>44.538327680216227</v>
      </c>
    </row>
    <row r="24" spans="1:41" x14ac:dyDescent="0.3">
      <c r="A24">
        <v>2011</v>
      </c>
      <c r="B24">
        <v>655.25183010000001</v>
      </c>
      <c r="C24">
        <v>2.0362644379999999</v>
      </c>
      <c r="D24">
        <v>70.712961971180803</v>
      </c>
      <c r="F24" s="2">
        <v>23</v>
      </c>
      <c r="G24">
        <v>518.87789699999996</v>
      </c>
      <c r="H24">
        <v>1.7882088620000001</v>
      </c>
      <c r="I24">
        <v>56.091518413964401</v>
      </c>
      <c r="K24">
        <f t="shared" si="5"/>
        <v>0.60775862068965514</v>
      </c>
      <c r="L24">
        <f t="shared" si="6"/>
        <v>0.60775862068965514</v>
      </c>
      <c r="M24">
        <f t="shared" si="7"/>
        <v>0.60775862068965514</v>
      </c>
      <c r="O24">
        <f t="shared" si="8"/>
        <v>0.69720042127676629</v>
      </c>
      <c r="P24">
        <f t="shared" si="9"/>
        <v>0.69720042127676629</v>
      </c>
      <c r="Q24">
        <f t="shared" si="10"/>
        <v>0.69720042127676629</v>
      </c>
      <c r="AA24">
        <f t="shared" si="11"/>
        <v>527.84642927896607</v>
      </c>
      <c r="AB24">
        <f t="shared" si="12"/>
        <v>1.7922533389844388</v>
      </c>
      <c r="AC24">
        <f t="shared" si="13"/>
        <v>52.966302283227755</v>
      </c>
      <c r="AE24">
        <f t="shared" si="14"/>
        <v>1958.1619978523231</v>
      </c>
      <c r="AF24">
        <f t="shared" si="15"/>
        <v>2.572848601698537E-2</v>
      </c>
      <c r="AG24">
        <f t="shared" si="16"/>
        <v>12.221038560010921</v>
      </c>
      <c r="AI24">
        <f t="shared" si="17"/>
        <v>617.59186891765034</v>
      </c>
      <c r="AJ24">
        <f t="shared" si="18"/>
        <v>2.1175616778108979</v>
      </c>
      <c r="AK24">
        <f t="shared" si="19"/>
        <v>60.056235389515031</v>
      </c>
      <c r="AM24">
        <f t="shared" si="20"/>
        <v>438.10098964028174</v>
      </c>
      <c r="AN24">
        <f t="shared" si="21"/>
        <v>1.4669450001579798</v>
      </c>
      <c r="AO24">
        <f t="shared" si="22"/>
        <v>45.876369176940479</v>
      </c>
    </row>
    <row r="25" spans="1:41" x14ac:dyDescent="0.3">
      <c r="A25">
        <v>2012</v>
      </c>
      <c r="B25">
        <v>187.56512849999999</v>
      </c>
      <c r="C25">
        <v>0.84101034399999997</v>
      </c>
      <c r="D25">
        <v>21.7298103641502</v>
      </c>
      <c r="F25" s="2">
        <v>24</v>
      </c>
      <c r="G25">
        <v>527.88265420000005</v>
      </c>
      <c r="H25">
        <v>1.8859019829999999</v>
      </c>
      <c r="I25">
        <v>59.878989995920499</v>
      </c>
      <c r="K25">
        <f t="shared" si="5"/>
        <v>0.63469827586206895</v>
      </c>
      <c r="L25">
        <f t="shared" si="6"/>
        <v>0.63469827586206895</v>
      </c>
      <c r="M25">
        <f t="shared" si="7"/>
        <v>0.63469827586206895</v>
      </c>
      <c r="O25">
        <f t="shared" si="8"/>
        <v>0.7883251610068398</v>
      </c>
      <c r="P25">
        <f t="shared" si="9"/>
        <v>0.7883251610068398</v>
      </c>
      <c r="Q25">
        <f t="shared" si="10"/>
        <v>0.7883251610068398</v>
      </c>
      <c r="AA25">
        <f t="shared" si="11"/>
        <v>546.68591629939294</v>
      </c>
      <c r="AB25">
        <f t="shared" si="12"/>
        <v>1.8605425161463276</v>
      </c>
      <c r="AC25">
        <f t="shared" si="13"/>
        <v>54.454630863146136</v>
      </c>
      <c r="AE25">
        <f t="shared" si="14"/>
        <v>2006.7564569504891</v>
      </c>
      <c r="AF25">
        <f t="shared" si="15"/>
        <v>2.6366973467350251E-2</v>
      </c>
      <c r="AG25">
        <f t="shared" si="16"/>
        <v>12.52432029006845</v>
      </c>
      <c r="AI25">
        <f t="shared" si="17"/>
        <v>637.53810932602721</v>
      </c>
      <c r="AJ25">
        <f t="shared" si="18"/>
        <v>2.1898626031749688</v>
      </c>
      <c r="AK25">
        <f t="shared" si="19"/>
        <v>61.631998021985979</v>
      </c>
      <c r="AM25">
        <f t="shared" si="20"/>
        <v>455.83372327275868</v>
      </c>
      <c r="AN25">
        <f t="shared" si="21"/>
        <v>1.5312224291176864</v>
      </c>
      <c r="AO25">
        <f t="shared" si="22"/>
        <v>47.277263704306293</v>
      </c>
    </row>
    <row r="26" spans="1:41" x14ac:dyDescent="0.3">
      <c r="A26">
        <v>2013</v>
      </c>
      <c r="B26">
        <v>803.34893780000004</v>
      </c>
      <c r="C26">
        <v>1.2331986690000001</v>
      </c>
      <c r="D26">
        <v>64.8078800509643</v>
      </c>
      <c r="F26" s="2">
        <v>25</v>
      </c>
      <c r="G26">
        <v>552.60326120000002</v>
      </c>
      <c r="H26">
        <v>1.9538624149999999</v>
      </c>
      <c r="I26">
        <v>61.653759605117799</v>
      </c>
      <c r="K26">
        <f t="shared" si="5"/>
        <v>0.66163793103448276</v>
      </c>
      <c r="L26">
        <f t="shared" si="6"/>
        <v>0.66163793103448276</v>
      </c>
      <c r="M26">
        <f t="shared" si="7"/>
        <v>0.66163793103448276</v>
      </c>
      <c r="O26">
        <f t="shared" si="8"/>
        <v>0.88421857464283204</v>
      </c>
      <c r="P26">
        <f t="shared" si="9"/>
        <v>0.88421857464283204</v>
      </c>
      <c r="Q26">
        <f t="shared" si="10"/>
        <v>0.88421857464283204</v>
      </c>
      <c r="AA26">
        <f t="shared" si="11"/>
        <v>566.51129771492401</v>
      </c>
      <c r="AB26">
        <f t="shared" si="12"/>
        <v>1.9324053530865948</v>
      </c>
      <c r="AC26">
        <f t="shared" si="13"/>
        <v>56.020845576769958</v>
      </c>
      <c r="AE26">
        <f t="shared" si="14"/>
        <v>2057.1937048891209</v>
      </c>
      <c r="AF26">
        <f t="shared" si="15"/>
        <v>2.7029673504296928E-2</v>
      </c>
      <c r="AG26">
        <f t="shared" si="16"/>
        <v>12.839103006000483</v>
      </c>
      <c r="AI26">
        <f t="shared" si="17"/>
        <v>658.49813217849271</v>
      </c>
      <c r="AJ26">
        <f t="shared" si="18"/>
        <v>2.2658382766281422</v>
      </c>
      <c r="AK26">
        <f t="shared" si="19"/>
        <v>63.287849957510701</v>
      </c>
      <c r="AM26">
        <f t="shared" si="20"/>
        <v>474.52446325135531</v>
      </c>
      <c r="AN26">
        <f t="shared" si="21"/>
        <v>1.5989724295450471</v>
      </c>
      <c r="AO26">
        <f t="shared" si="22"/>
        <v>48.753841196029214</v>
      </c>
    </row>
    <row r="27" spans="1:41" x14ac:dyDescent="0.3">
      <c r="A27">
        <v>2014</v>
      </c>
      <c r="B27">
        <v>250.4540131</v>
      </c>
      <c r="C27">
        <v>0.83251529000000002</v>
      </c>
      <c r="D27">
        <v>31.2098818326191</v>
      </c>
      <c r="F27" s="2">
        <v>26</v>
      </c>
      <c r="G27">
        <v>559.5975224</v>
      </c>
      <c r="H27">
        <v>2.0362644379999999</v>
      </c>
      <c r="I27">
        <v>64.587541623646501</v>
      </c>
      <c r="K27">
        <f t="shared" si="5"/>
        <v>0.68857758620689657</v>
      </c>
      <c r="L27">
        <f t="shared" si="6"/>
        <v>0.68857758620689657</v>
      </c>
      <c r="M27">
        <f t="shared" si="7"/>
        <v>0.68857758620689657</v>
      </c>
      <c r="O27">
        <f t="shared" si="8"/>
        <v>0.98583568856603254</v>
      </c>
      <c r="P27">
        <f t="shared" si="9"/>
        <v>0.98583568856603254</v>
      </c>
      <c r="Q27">
        <f t="shared" si="10"/>
        <v>0.98583568856603254</v>
      </c>
      <c r="AA27">
        <f t="shared" si="11"/>
        <v>587.5200194350648</v>
      </c>
      <c r="AB27">
        <f t="shared" si="12"/>
        <v>2.0085575496902477</v>
      </c>
      <c r="AC27">
        <f t="shared" si="13"/>
        <v>57.680544746377663</v>
      </c>
      <c r="AE27">
        <f t="shared" si="14"/>
        <v>2109.4737416682187</v>
      </c>
      <c r="AF27">
        <f t="shared" si="15"/>
        <v>2.7716586127825401E-2</v>
      </c>
      <c r="AG27">
        <f t="shared" si="16"/>
        <v>13.165386707807022</v>
      </c>
      <c r="AI27">
        <f t="shared" si="17"/>
        <v>680.66836427585235</v>
      </c>
      <c r="AJ27">
        <f t="shared" si="18"/>
        <v>2.3462007040007791</v>
      </c>
      <c r="AK27">
        <f t="shared" si="19"/>
        <v>65.039309008287802</v>
      </c>
      <c r="AM27">
        <f t="shared" si="20"/>
        <v>494.37167459427718</v>
      </c>
      <c r="AN27">
        <f t="shared" si="21"/>
        <v>1.6709143953797163</v>
      </c>
      <c r="AO27">
        <f t="shared" si="22"/>
        <v>50.321780484467524</v>
      </c>
    </row>
    <row r="28" spans="1:41" x14ac:dyDescent="0.3">
      <c r="A28">
        <v>2015</v>
      </c>
      <c r="B28">
        <v>433.58755500000001</v>
      </c>
      <c r="C28">
        <v>3.9983387389999998</v>
      </c>
      <c r="D28">
        <v>52.686067199999997</v>
      </c>
      <c r="F28" s="2">
        <v>27</v>
      </c>
      <c r="G28">
        <v>564.77950529999998</v>
      </c>
      <c r="H28">
        <v>2.038812955</v>
      </c>
      <c r="I28">
        <v>64.8078800509643</v>
      </c>
      <c r="K28">
        <f t="shared" si="5"/>
        <v>0.71551724137931039</v>
      </c>
      <c r="L28">
        <f t="shared" si="6"/>
        <v>0.71551724137931039</v>
      </c>
      <c r="M28">
        <f t="shared" si="7"/>
        <v>0.71551724137931039</v>
      </c>
      <c r="O28">
        <f t="shared" si="8"/>
        <v>1.0943725391920132</v>
      </c>
      <c r="P28">
        <f t="shared" si="9"/>
        <v>1.0943725391920132</v>
      </c>
      <c r="Q28">
        <f t="shared" si="10"/>
        <v>1.0943725391920132</v>
      </c>
      <c r="AA28">
        <f t="shared" si="11"/>
        <v>609.95935473152917</v>
      </c>
      <c r="AB28">
        <f t="shared" si="12"/>
        <v>2.0898954195480521</v>
      </c>
      <c r="AC28">
        <f t="shared" si="13"/>
        <v>59.453263079944193</v>
      </c>
      <c r="AE28">
        <f t="shared" si="14"/>
        <v>2163.5965672877819</v>
      </c>
      <c r="AF28">
        <f t="shared" si="15"/>
        <v>2.8427711337935663E-2</v>
      </c>
      <c r="AG28">
        <f t="shared" si="16"/>
        <v>13.503171395488062</v>
      </c>
      <c r="AI28">
        <f t="shared" si="17"/>
        <v>704.29508642212284</v>
      </c>
      <c r="AJ28">
        <f t="shared" si="18"/>
        <v>2.4318426013970287</v>
      </c>
      <c r="AK28">
        <f t="shared" si="19"/>
        <v>66.905831476864449</v>
      </c>
      <c r="AM28">
        <f t="shared" si="20"/>
        <v>515.62362304093551</v>
      </c>
      <c r="AN28">
        <f t="shared" si="21"/>
        <v>1.7479482376990756</v>
      </c>
      <c r="AO28">
        <f t="shared" si="22"/>
        <v>52.000694683023937</v>
      </c>
    </row>
    <row r="29" spans="1:41" x14ac:dyDescent="0.3">
      <c r="A29">
        <v>2016</v>
      </c>
      <c r="B29">
        <v>1441.6106600000001</v>
      </c>
      <c r="C29">
        <v>1.7882088620000001</v>
      </c>
      <c r="D29">
        <v>65.632002516997204</v>
      </c>
      <c r="F29" s="2">
        <v>28</v>
      </c>
      <c r="G29">
        <v>614.13576890000002</v>
      </c>
      <c r="H29">
        <v>2.0529713780000001</v>
      </c>
      <c r="I29">
        <v>65.632002516997204</v>
      </c>
      <c r="K29">
        <f t="shared" si="5"/>
        <v>0.7424568965517242</v>
      </c>
      <c r="L29">
        <f t="shared" si="6"/>
        <v>0.7424568965517242</v>
      </c>
      <c r="M29">
        <f t="shared" si="7"/>
        <v>0.7424568965517242</v>
      </c>
      <c r="O29">
        <f t="shared" si="8"/>
        <v>1.2113651882158119</v>
      </c>
      <c r="P29">
        <f t="shared" si="9"/>
        <v>1.2113651882158119</v>
      </c>
      <c r="Q29">
        <f t="shared" si="10"/>
        <v>1.2113651882158119</v>
      </c>
      <c r="AA29">
        <f t="shared" si="11"/>
        <v>634.14687503938489</v>
      </c>
      <c r="AB29">
        <f t="shared" si="12"/>
        <v>2.1775700923042169</v>
      </c>
      <c r="AC29">
        <f t="shared" si="13"/>
        <v>61.364088874325198</v>
      </c>
      <c r="AE29">
        <f t="shared" si="14"/>
        <v>2219.5621817478109</v>
      </c>
      <c r="AF29">
        <f t="shared" si="15"/>
        <v>2.9163049134627729E-2</v>
      </c>
      <c r="AG29">
        <f t="shared" si="16"/>
        <v>13.852457069043608</v>
      </c>
      <c r="AI29">
        <f t="shared" si="17"/>
        <v>729.69490534714248</v>
      </c>
      <c r="AJ29">
        <f t="shared" si="18"/>
        <v>2.5239116016075909</v>
      </c>
      <c r="AK29">
        <f t="shared" si="19"/>
        <v>68.912429447916949</v>
      </c>
      <c r="AM29">
        <f t="shared" si="20"/>
        <v>538.59884473162731</v>
      </c>
      <c r="AN29">
        <f t="shared" si="21"/>
        <v>1.831228583000843</v>
      </c>
      <c r="AO29">
        <f t="shared" si="22"/>
        <v>53.815748300733446</v>
      </c>
    </row>
    <row r="30" spans="1:41" x14ac:dyDescent="0.3">
      <c r="A30">
        <v>2017</v>
      </c>
      <c r="B30">
        <v>649.22034180000003</v>
      </c>
      <c r="C30">
        <v>2.0529713780000001</v>
      </c>
      <c r="D30">
        <v>43.600316045967098</v>
      </c>
      <c r="F30" s="2">
        <v>29</v>
      </c>
      <c r="G30">
        <v>649.22034180000003</v>
      </c>
      <c r="H30">
        <v>2.2313675110000002</v>
      </c>
      <c r="I30">
        <v>70.712961971180803</v>
      </c>
      <c r="K30">
        <f t="shared" si="5"/>
        <v>0.7693965517241379</v>
      </c>
      <c r="L30">
        <f t="shared" si="6"/>
        <v>0.7693965517241379</v>
      </c>
      <c r="M30">
        <f t="shared" si="7"/>
        <v>0.7693965517241379</v>
      </c>
      <c r="O30">
        <f t="shared" si="8"/>
        <v>1.338843110241174</v>
      </c>
      <c r="P30">
        <f t="shared" si="9"/>
        <v>1.338843110241174</v>
      </c>
      <c r="Q30">
        <f t="shared" si="10"/>
        <v>1.338843110241174</v>
      </c>
      <c r="AA30">
        <f t="shared" si="11"/>
        <v>660.50216191868662</v>
      </c>
      <c r="AB30">
        <f t="shared" si="12"/>
        <v>2.273102462846027</v>
      </c>
      <c r="AC30">
        <f t="shared" si="13"/>
        <v>63.446169275552812</v>
      </c>
      <c r="AE30">
        <f t="shared" si="14"/>
        <v>2277.3705850483057</v>
      </c>
      <c r="AF30">
        <f t="shared" si="15"/>
        <v>2.992259951790158E-2</v>
      </c>
      <c r="AG30">
        <f t="shared" si="16"/>
        <v>14.213243728473655</v>
      </c>
      <c r="AI30">
        <f t="shared" si="17"/>
        <v>757.28646649776465</v>
      </c>
      <c r="AJ30">
        <f t="shared" si="18"/>
        <v>2.6239252063063261</v>
      </c>
      <c r="AK30">
        <f t="shared" si="19"/>
        <v>71.092176114082079</v>
      </c>
      <c r="AM30">
        <f t="shared" si="20"/>
        <v>563.7178573396086</v>
      </c>
      <c r="AN30">
        <f t="shared" si="21"/>
        <v>1.9222797193857277</v>
      </c>
      <c r="AO30">
        <f t="shared" si="22"/>
        <v>55.800162437023538</v>
      </c>
    </row>
    <row r="31" spans="1:41" x14ac:dyDescent="0.3">
      <c r="A31">
        <v>2018</v>
      </c>
      <c r="B31">
        <v>398.26228889999999</v>
      </c>
      <c r="C31">
        <v>0.94748168700000002</v>
      </c>
      <c r="D31">
        <v>44.8346233397315</v>
      </c>
      <c r="F31" s="2">
        <v>30</v>
      </c>
      <c r="G31">
        <v>655.25183010000001</v>
      </c>
      <c r="H31">
        <v>2.3502982669999999</v>
      </c>
      <c r="I31">
        <v>73.247511252385195</v>
      </c>
      <c r="K31">
        <f t="shared" si="5"/>
        <v>0.79633620689655171</v>
      </c>
      <c r="L31">
        <f t="shared" si="6"/>
        <v>0.79633620689655171</v>
      </c>
      <c r="M31">
        <f t="shared" si="7"/>
        <v>0.79633620689655171</v>
      </c>
      <c r="O31">
        <f t="shared" si="8"/>
        <v>1.4795778240159212</v>
      </c>
      <c r="P31">
        <f t="shared" si="9"/>
        <v>1.4795778240159212</v>
      </c>
      <c r="Q31">
        <f t="shared" si="10"/>
        <v>1.4795778240159212</v>
      </c>
      <c r="AA31">
        <f t="shared" si="11"/>
        <v>689.59821005376648</v>
      </c>
      <c r="AB31">
        <f t="shared" si="12"/>
        <v>2.3785695163625555</v>
      </c>
      <c r="AC31">
        <f t="shared" si="13"/>
        <v>65.744771140623072</v>
      </c>
      <c r="AE31">
        <f t="shared" si="14"/>
        <v>2337.0217771892658</v>
      </c>
      <c r="AF31">
        <f t="shared" si="15"/>
        <v>3.0706362487757228E-2</v>
      </c>
      <c r="AG31">
        <f t="shared" si="16"/>
        <v>14.585531373778206</v>
      </c>
      <c r="AI31">
        <f t="shared" si="17"/>
        <v>787.64185760469377</v>
      </c>
      <c r="AJ31">
        <f t="shared" si="18"/>
        <v>2.7339571131662046</v>
      </c>
      <c r="AK31">
        <f t="shared" si="19"/>
        <v>73.490266682580966</v>
      </c>
      <c r="AM31">
        <f t="shared" si="20"/>
        <v>591.55456250283919</v>
      </c>
      <c r="AN31">
        <f t="shared" si="21"/>
        <v>2.0231819195589065</v>
      </c>
      <c r="AO31">
        <f t="shared" si="22"/>
        <v>57.999275598665186</v>
      </c>
    </row>
    <row r="32" spans="1:41" x14ac:dyDescent="0.3">
      <c r="A32">
        <v>2019</v>
      </c>
      <c r="B32">
        <v>453.80578350000002</v>
      </c>
      <c r="C32">
        <v>2.7892093889999998</v>
      </c>
      <c r="D32">
        <v>80.616419095610894</v>
      </c>
      <c r="F32" s="2">
        <v>31</v>
      </c>
      <c r="G32">
        <v>678.78312970000002</v>
      </c>
      <c r="H32">
        <v>2.4525220829999999</v>
      </c>
      <c r="I32">
        <v>75.528389137690397</v>
      </c>
      <c r="K32">
        <f t="shared" si="5"/>
        <v>0.82327586206896552</v>
      </c>
      <c r="L32">
        <f t="shared" si="6"/>
        <v>0.82327586206896552</v>
      </c>
      <c r="M32">
        <f t="shared" si="7"/>
        <v>0.82327586206896552</v>
      </c>
      <c r="O32">
        <f t="shared" si="8"/>
        <v>1.637508512956007</v>
      </c>
      <c r="P32">
        <f t="shared" si="9"/>
        <v>1.637508512956007</v>
      </c>
      <c r="Q32">
        <f t="shared" si="10"/>
        <v>1.637508512956007</v>
      </c>
      <c r="AA32">
        <f t="shared" si="11"/>
        <v>722.24942171403848</v>
      </c>
      <c r="AB32">
        <f t="shared" si="12"/>
        <v>2.4969232897535738</v>
      </c>
      <c r="AC32">
        <f t="shared" si="13"/>
        <v>68.324232642428129</v>
      </c>
      <c r="AE32">
        <f t="shared" si="14"/>
        <v>2398.5157581706926</v>
      </c>
      <c r="AF32">
        <f t="shared" si="15"/>
        <v>3.1514338044194679E-2</v>
      </c>
      <c r="AG32">
        <f t="shared" si="16"/>
        <v>14.969320004957263</v>
      </c>
      <c r="AI32">
        <f t="shared" si="17"/>
        <v>821.57460347775964</v>
      </c>
      <c r="AJ32">
        <f t="shared" si="18"/>
        <v>2.8569561784805968</v>
      </c>
      <c r="AK32">
        <f t="shared" si="19"/>
        <v>76.170970006574507</v>
      </c>
      <c r="AM32">
        <f t="shared" si="20"/>
        <v>622.92423995031731</v>
      </c>
      <c r="AN32">
        <f t="shared" si="21"/>
        <v>2.1368904010265508</v>
      </c>
      <c r="AO32">
        <f t="shared" si="22"/>
        <v>60.477495278281758</v>
      </c>
    </row>
    <row r="33" spans="1:41" x14ac:dyDescent="0.3">
      <c r="A33">
        <v>2020</v>
      </c>
      <c r="B33">
        <v>875.01887650000003</v>
      </c>
      <c r="C33">
        <v>2.4525220829999999</v>
      </c>
      <c r="D33">
        <v>79.431914417188494</v>
      </c>
      <c r="F33" s="2">
        <v>32</v>
      </c>
      <c r="G33">
        <v>704.52314320000005</v>
      </c>
      <c r="H33">
        <v>2.5201993470000001</v>
      </c>
      <c r="I33">
        <v>79.067017448698607</v>
      </c>
      <c r="K33">
        <f t="shared" si="5"/>
        <v>0.85021551724137934</v>
      </c>
      <c r="L33">
        <f t="shared" si="6"/>
        <v>0.85021551724137934</v>
      </c>
      <c r="M33">
        <f t="shared" si="7"/>
        <v>0.85021551724137934</v>
      </c>
      <c r="O33">
        <f t="shared" si="8"/>
        <v>1.8185219390627054</v>
      </c>
      <c r="P33">
        <f t="shared" si="9"/>
        <v>1.8185219390627054</v>
      </c>
      <c r="Q33">
        <f t="shared" si="10"/>
        <v>1.8185219390627054</v>
      </c>
      <c r="AA33">
        <f t="shared" si="11"/>
        <v>759.67284922408373</v>
      </c>
      <c r="AB33">
        <f t="shared" si="12"/>
        <v>2.6325753416628235</v>
      </c>
      <c r="AC33">
        <f t="shared" si="13"/>
        <v>71.280701502822936</v>
      </c>
      <c r="AE33">
        <f t="shared" si="14"/>
        <v>2461.8525279925839</v>
      </c>
      <c r="AF33">
        <f t="shared" si="15"/>
        <v>3.2346526187213911E-2</v>
      </c>
      <c r="AG33">
        <f t="shared" si="16"/>
        <v>15.364609622010821</v>
      </c>
      <c r="AI33">
        <f t="shared" si="17"/>
        <v>860.30090860501946</v>
      </c>
      <c r="AJ33">
        <f t="shared" si="18"/>
        <v>2.9973308876642064</v>
      </c>
      <c r="AK33">
        <f t="shared" si="19"/>
        <v>79.230366828422504</v>
      </c>
      <c r="AM33">
        <f t="shared" si="20"/>
        <v>659.04478984314801</v>
      </c>
      <c r="AN33">
        <f t="shared" si="21"/>
        <v>2.2678197956614405</v>
      </c>
      <c r="AO33">
        <f t="shared" si="22"/>
        <v>63.331036177223368</v>
      </c>
    </row>
    <row r="34" spans="1:41" x14ac:dyDescent="0.3">
      <c r="A34">
        <v>2021</v>
      </c>
      <c r="B34">
        <v>339.91542650000002</v>
      </c>
      <c r="C34">
        <v>4.5315449599999997</v>
      </c>
      <c r="D34">
        <v>46.595694577134203</v>
      </c>
      <c r="F34" s="2">
        <v>33</v>
      </c>
      <c r="G34">
        <v>801.42339219999997</v>
      </c>
      <c r="H34">
        <v>2.6306350479999998</v>
      </c>
      <c r="I34">
        <v>79.431914417188494</v>
      </c>
      <c r="K34">
        <f t="shared" si="5"/>
        <v>0.87715517241379326</v>
      </c>
      <c r="L34">
        <f t="shared" si="6"/>
        <v>0.87715517241379326</v>
      </c>
      <c r="M34">
        <f t="shared" si="7"/>
        <v>0.87715517241379326</v>
      </c>
      <c r="O34">
        <f t="shared" si="8"/>
        <v>2.0320133195141543</v>
      </c>
      <c r="P34">
        <f t="shared" si="9"/>
        <v>2.0320133195141543</v>
      </c>
      <c r="Q34">
        <f t="shared" si="10"/>
        <v>2.0320133195141543</v>
      </c>
      <c r="AA34">
        <f t="shared" si="11"/>
        <v>803.81089672800113</v>
      </c>
      <c r="AB34">
        <f t="shared" si="12"/>
        <v>2.7925664784865996</v>
      </c>
      <c r="AC34">
        <f t="shared" si="13"/>
        <v>74.767628587973832</v>
      </c>
      <c r="AE34">
        <f t="shared" si="14"/>
        <v>2527.0320866549418</v>
      </c>
      <c r="AF34">
        <f t="shared" si="15"/>
        <v>3.3202926916814944E-2</v>
      </c>
      <c r="AG34">
        <f t="shared" si="16"/>
        <v>15.771400224938885</v>
      </c>
      <c r="AI34">
        <f t="shared" si="17"/>
        <v>905.7623588667127</v>
      </c>
      <c r="AJ34">
        <f t="shared" si="18"/>
        <v>3.1621190810789765</v>
      </c>
      <c r="AK34">
        <f t="shared" si="19"/>
        <v>82.821843371050932</v>
      </c>
      <c r="AM34">
        <f t="shared" si="20"/>
        <v>701.85943458928955</v>
      </c>
      <c r="AN34">
        <f t="shared" si="21"/>
        <v>2.4230138758942226</v>
      </c>
      <c r="AO34">
        <f t="shared" si="22"/>
        <v>66.713413804896732</v>
      </c>
    </row>
    <row r="35" spans="1:41" x14ac:dyDescent="0.3">
      <c r="A35">
        <v>2022</v>
      </c>
      <c r="B35">
        <v>490.90085249999998</v>
      </c>
      <c r="C35">
        <v>3.9366080129999999</v>
      </c>
      <c r="D35">
        <v>64.587541623646501</v>
      </c>
      <c r="F35" s="2">
        <v>34</v>
      </c>
      <c r="G35">
        <v>803.34893780000004</v>
      </c>
      <c r="H35">
        <v>2.7892093889999998</v>
      </c>
      <c r="I35">
        <v>80.616419095610894</v>
      </c>
      <c r="K35">
        <f t="shared" si="5"/>
        <v>0.90409482758620707</v>
      </c>
      <c r="L35">
        <f t="shared" si="6"/>
        <v>0.90409482758620707</v>
      </c>
      <c r="M35">
        <f t="shared" si="7"/>
        <v>0.90409482758620707</v>
      </c>
      <c r="O35">
        <f t="shared" si="8"/>
        <v>2.2944083506631965</v>
      </c>
      <c r="P35">
        <f t="shared" si="9"/>
        <v>2.2944083506631965</v>
      </c>
      <c r="Q35">
        <f t="shared" si="10"/>
        <v>2.2944083506631965</v>
      </c>
      <c r="AA35">
        <f t="shared" si="11"/>
        <v>858.05947728032982</v>
      </c>
      <c r="AB35">
        <f t="shared" si="12"/>
        <v>2.9892061706450024</v>
      </c>
      <c r="AC35">
        <f t="shared" si="13"/>
        <v>79.053292670466789</v>
      </c>
      <c r="AE35">
        <f t="shared" si="14"/>
        <v>2594.0544341577647</v>
      </c>
      <c r="AF35">
        <f t="shared" si="15"/>
        <v>3.4083540232997769E-2</v>
      </c>
      <c r="AG35">
        <f t="shared" si="16"/>
        <v>16.189691813741447</v>
      </c>
      <c r="AI35">
        <f t="shared" si="17"/>
        <v>961.35407842066161</v>
      </c>
      <c r="AJ35">
        <f t="shared" si="18"/>
        <v>3.3636273695603705</v>
      </c>
      <c r="AK35">
        <f t="shared" si="19"/>
        <v>87.213616083823837</v>
      </c>
      <c r="AM35">
        <f t="shared" si="20"/>
        <v>754.76487613999802</v>
      </c>
      <c r="AN35">
        <f t="shared" si="21"/>
        <v>2.6147849717296343</v>
      </c>
      <c r="AO35">
        <f t="shared" si="22"/>
        <v>70.892969257109741</v>
      </c>
    </row>
    <row r="36" spans="1:41" x14ac:dyDescent="0.3">
      <c r="A36">
        <v>2023</v>
      </c>
      <c r="B36">
        <v>353.72272090000001</v>
      </c>
      <c r="C36">
        <v>1.4073472760000001</v>
      </c>
      <c r="D36">
        <v>26.931684207832799</v>
      </c>
      <c r="F36" s="2">
        <v>35</v>
      </c>
      <c r="G36">
        <v>875.01887650000003</v>
      </c>
      <c r="H36">
        <v>3.9366080129999999</v>
      </c>
      <c r="I36">
        <v>81.488250579999999</v>
      </c>
      <c r="K36">
        <f t="shared" si="5"/>
        <v>0.93103448275862077</v>
      </c>
      <c r="L36">
        <f t="shared" si="6"/>
        <v>0.93103448275862077</v>
      </c>
      <c r="M36">
        <f t="shared" si="7"/>
        <v>0.93103448275862077</v>
      </c>
      <c r="O36">
        <f t="shared" si="8"/>
        <v>2.6386319243628771</v>
      </c>
      <c r="P36">
        <f t="shared" si="9"/>
        <v>2.6386319243628771</v>
      </c>
      <c r="Q36">
        <f t="shared" si="10"/>
        <v>2.6386319243628771</v>
      </c>
      <c r="AA36">
        <f t="shared" si="11"/>
        <v>929.22561249289356</v>
      </c>
      <c r="AB36">
        <f t="shared" si="12"/>
        <v>3.247168439478985</v>
      </c>
      <c r="AC36">
        <f t="shared" si="13"/>
        <v>84.675451747534609</v>
      </c>
      <c r="AE36">
        <f t="shared" si="14"/>
        <v>2662.9195705010534</v>
      </c>
      <c r="AF36">
        <f t="shared" si="15"/>
        <v>3.4988366135762387E-2</v>
      </c>
      <c r="AG36">
        <f t="shared" si="16"/>
        <v>16.619484388418517</v>
      </c>
      <c r="AI36">
        <f t="shared" si="17"/>
        <v>1033.8823290109003</v>
      </c>
      <c r="AJ36">
        <f t="shared" si="18"/>
        <v>3.6265270200884578</v>
      </c>
      <c r="AK36">
        <f t="shared" si="19"/>
        <v>92.9433829340514</v>
      </c>
      <c r="AM36">
        <f t="shared" si="20"/>
        <v>824.5688959748868</v>
      </c>
      <c r="AN36">
        <f t="shared" si="21"/>
        <v>2.8678098588695122</v>
      </c>
      <c r="AO36">
        <f t="shared" si="22"/>
        <v>76.407520561017819</v>
      </c>
    </row>
    <row r="37" spans="1:41" x14ac:dyDescent="0.3">
      <c r="A37">
        <v>2024</v>
      </c>
      <c r="B37">
        <v>186.94782119999999</v>
      </c>
      <c r="C37">
        <v>1.1496639719999999</v>
      </c>
      <c r="D37">
        <v>34.547506795560103</v>
      </c>
      <c r="F37" s="2">
        <v>36</v>
      </c>
      <c r="G37">
        <v>1080.004529</v>
      </c>
      <c r="H37">
        <v>3.9983387389999998</v>
      </c>
      <c r="I37">
        <v>82.413960103706799</v>
      </c>
      <c r="K37">
        <f t="shared" si="5"/>
        <v>0.95797413793103459</v>
      </c>
      <c r="L37">
        <f t="shared" si="6"/>
        <v>0.95797413793103459</v>
      </c>
      <c r="M37">
        <f t="shared" si="7"/>
        <v>0.95797413793103459</v>
      </c>
      <c r="O37">
        <f t="shared" si="8"/>
        <v>3.1480796439679106</v>
      </c>
      <c r="P37">
        <f t="shared" si="9"/>
        <v>3.1480796439679106</v>
      </c>
      <c r="Q37">
        <f t="shared" si="10"/>
        <v>3.1480796439679106</v>
      </c>
      <c r="AA37">
        <f t="shared" si="11"/>
        <v>1034.5508373386947</v>
      </c>
      <c r="AB37">
        <f t="shared" si="12"/>
        <v>3.6289502221417544</v>
      </c>
      <c r="AC37">
        <f t="shared" si="13"/>
        <v>92.996195415043644</v>
      </c>
      <c r="AE37">
        <f t="shared" si="14"/>
        <v>2733.6274956848088</v>
      </c>
      <c r="AF37">
        <f t="shared" si="15"/>
        <v>3.5917404625108812E-2</v>
      </c>
      <c r="AG37">
        <f t="shared" si="16"/>
        <v>17.060777948970095</v>
      </c>
      <c r="AI37">
        <f t="shared" si="17"/>
        <v>1140.5879143211905</v>
      </c>
      <c r="AJ37">
        <f t="shared" si="18"/>
        <v>4.0133123190467908</v>
      </c>
      <c r="AK37">
        <f t="shared" si="19"/>
        <v>101.37317574539651</v>
      </c>
      <c r="AM37">
        <f t="shared" si="20"/>
        <v>928.51376035619887</v>
      </c>
      <c r="AN37">
        <f t="shared" si="21"/>
        <v>3.2445881252367186</v>
      </c>
      <c r="AO37">
        <f t="shared" si="22"/>
        <v>84.619215084690779</v>
      </c>
    </row>
    <row r="38" spans="1:41" x14ac:dyDescent="0.3">
      <c r="A38">
        <v>2025</v>
      </c>
      <c r="B38">
        <v>564.77950529999998</v>
      </c>
      <c r="C38">
        <v>0.56633693200000002</v>
      </c>
      <c r="D38">
        <v>33.024863691567099</v>
      </c>
      <c r="F38" s="2">
        <v>37</v>
      </c>
      <c r="G38">
        <v>1441.6106600000001</v>
      </c>
      <c r="H38">
        <v>4.5315449599999997</v>
      </c>
      <c r="I38">
        <v>90.467199901383495</v>
      </c>
      <c r="K38">
        <f t="shared" si="5"/>
        <v>0.9849137931034484</v>
      </c>
      <c r="L38">
        <f t="shared" si="6"/>
        <v>0.9849137931034484</v>
      </c>
      <c r="M38">
        <f t="shared" si="7"/>
        <v>0.9849137931034484</v>
      </c>
      <c r="O38">
        <f t="shared" si="8"/>
        <v>4.1863834506241284</v>
      </c>
      <c r="P38">
        <f t="shared" si="9"/>
        <v>4.1863834506241284</v>
      </c>
      <c r="Q38">
        <f t="shared" si="10"/>
        <v>4.1863834506241284</v>
      </c>
      <c r="AA38">
        <f t="shared" si="11"/>
        <v>1249.2138492353856</v>
      </c>
      <c r="AB38">
        <f t="shared" si="12"/>
        <v>4.4070584813328582</v>
      </c>
      <c r="AC38">
        <f t="shared" si="13"/>
        <v>109.95467710357349</v>
      </c>
      <c r="AE38">
        <f t="shared" si="14"/>
        <v>2806.178209709029</v>
      </c>
      <c r="AF38">
        <f t="shared" si="15"/>
        <v>3.6870655701037015E-2</v>
      </c>
      <c r="AG38">
        <f t="shared" si="16"/>
        <v>17.513572495396168</v>
      </c>
      <c r="AI38">
        <f t="shared" si="17"/>
        <v>1356.6488285145949</v>
      </c>
      <c r="AJ38">
        <f t="shared" si="18"/>
        <v>4.7964876799849732</v>
      </c>
      <c r="AK38">
        <f t="shared" si="19"/>
        <v>118.4420923909863</v>
      </c>
      <c r="AM38">
        <f t="shared" si="20"/>
        <v>1141.7788699561763</v>
      </c>
      <c r="AN38">
        <f t="shared" si="21"/>
        <v>4.0176292826807432</v>
      </c>
      <c r="AO38">
        <f t="shared" si="22"/>
        <v>101.46726181616067</v>
      </c>
    </row>
  </sheetData>
  <sortState xmlns:xlrd2="http://schemas.microsoft.com/office/spreadsheetml/2017/richdata2" ref="I2:I40">
    <sortCondition ref="I2:I40"/>
  </sortState>
  <mergeCells count="9">
    <mergeCell ref="AD1:AD5"/>
    <mergeCell ref="AH1:AH5"/>
    <mergeCell ref="AL1:AL5"/>
    <mergeCell ref="E1:E5"/>
    <mergeCell ref="J1:J5"/>
    <mergeCell ref="N1:N5"/>
    <mergeCell ref="R1:R5"/>
    <mergeCell ref="V1:V5"/>
    <mergeCell ref="Z1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BB37-0D44-467E-AE20-1A5093A63987}">
  <dimension ref="A1:AN76"/>
  <sheetViews>
    <sheetView tabSelected="1" topLeftCell="Q60" zoomScale="85" zoomScaleNormal="85" workbookViewId="0">
      <selection activeCell="AM110" sqref="AM110"/>
    </sheetView>
  </sheetViews>
  <sheetFormatPr defaultRowHeight="14.4" x14ac:dyDescent="0.3"/>
  <sheetData>
    <row r="1" spans="1:40" x14ac:dyDescent="0.3">
      <c r="A1" t="s">
        <v>13</v>
      </c>
      <c r="B1" t="s">
        <v>28</v>
      </c>
      <c r="C1" t="s">
        <v>22</v>
      </c>
      <c r="D1" t="s">
        <v>17</v>
      </c>
      <c r="E1" t="s">
        <v>18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N1" t="s">
        <v>6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U1" t="s">
        <v>12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B1" t="s">
        <v>13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I1" t="s">
        <v>22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3">
      <c r="A2">
        <v>-1.4336488292591345</v>
      </c>
      <c r="B2">
        <v>133.65551590000001</v>
      </c>
      <c r="C2">
        <v>87.306276112318812</v>
      </c>
      <c r="D2">
        <v>161.96959956601802</v>
      </c>
      <c r="E2">
        <v>12.642952658619592</v>
      </c>
      <c r="G2">
        <v>2012</v>
      </c>
      <c r="H2">
        <v>260.5</v>
      </c>
      <c r="I2">
        <v>430</v>
      </c>
      <c r="J2">
        <v>562.6</v>
      </c>
      <c r="K2">
        <v>560.79999999999995</v>
      </c>
      <c r="L2">
        <v>309.5</v>
      </c>
      <c r="N2">
        <v>1</v>
      </c>
      <c r="O2">
        <v>73.34</v>
      </c>
      <c r="P2">
        <v>152.80000000000001</v>
      </c>
      <c r="Q2">
        <v>193.9</v>
      </c>
      <c r="R2">
        <v>237</v>
      </c>
      <c r="S2">
        <v>99.88</v>
      </c>
      <c r="V2">
        <f>(N2-0.44)/(9+1-2*0.44)</f>
        <v>6.1403508771929835E-2</v>
      </c>
      <c r="W2">
        <f>(N2-0.44)/(9+1-2*0.44)</f>
        <v>6.1403508771929835E-2</v>
      </c>
      <c r="X2">
        <f>(N2-0.44)/(9+1-2*0.44)</f>
        <v>6.1403508771929835E-2</v>
      </c>
      <c r="Y2">
        <f>(N2-0.44)/(9+1-2*0.44)</f>
        <v>6.1403508771929835E-2</v>
      </c>
      <c r="Z2">
        <f>(N2-0.44)/(9+1-2*0.44)</f>
        <v>6.1403508771929835E-2</v>
      </c>
      <c r="AC2">
        <f>-LN(-LN(V2))</f>
        <v>-1.0261449235912585</v>
      </c>
      <c r="AD2">
        <f t="shared" ref="AD2:AG2" si="0">-LN(-LN(W2))</f>
        <v>-1.0261449235912585</v>
      </c>
      <c r="AE2">
        <f t="shared" si="0"/>
        <v>-1.0261449235912585</v>
      </c>
      <c r="AF2">
        <f t="shared" si="0"/>
        <v>-1.0261449235912585</v>
      </c>
      <c r="AG2">
        <f t="shared" si="0"/>
        <v>-1.0261449235912585</v>
      </c>
      <c r="AJ2">
        <f>$H$13*AC2+$H$14</f>
        <v>90.759120921374375</v>
      </c>
      <c r="AK2">
        <f>$I$13*AD2+$I$14</f>
        <v>197.05444554683149</v>
      </c>
      <c r="AL2">
        <f>$J$13*AE2+$J$14</f>
        <v>230.99169596186886</v>
      </c>
      <c r="AM2">
        <f>$K$13*AF2+$K$14</f>
        <v>290.63052213203332</v>
      </c>
      <c r="AN2">
        <f>$L$13*AG2+$L$14</f>
        <v>135.50756050498956</v>
      </c>
    </row>
    <row r="3" spans="1:40" x14ac:dyDescent="0.3">
      <c r="A3">
        <v>-1.1535644088229782</v>
      </c>
      <c r="B3">
        <v>186.94782119999999</v>
      </c>
      <c r="C3">
        <v>145.21203056562149</v>
      </c>
      <c r="D3">
        <v>220.09684624540768</v>
      </c>
      <c r="E3">
        <v>70.327214885835289</v>
      </c>
      <c r="G3">
        <v>2013</v>
      </c>
      <c r="H3">
        <v>73.34</v>
      </c>
      <c r="I3">
        <v>152.80000000000001</v>
      </c>
      <c r="J3">
        <v>193.9</v>
      </c>
      <c r="K3">
        <v>237</v>
      </c>
      <c r="L3">
        <v>99.88</v>
      </c>
      <c r="N3">
        <v>2</v>
      </c>
      <c r="O3">
        <v>82.19</v>
      </c>
      <c r="P3">
        <v>184.4</v>
      </c>
      <c r="Q3">
        <v>195.7</v>
      </c>
      <c r="R3">
        <v>281.7</v>
      </c>
      <c r="S3">
        <v>113.7</v>
      </c>
      <c r="V3">
        <f t="shared" ref="V3:V10" si="1">(N3-0.44)/(9+1-2*0.44)</f>
        <v>0.1710526315789474</v>
      </c>
      <c r="W3">
        <f t="shared" ref="W3:W10" si="2">(N3-0.44)/(9+1-2*0.44)</f>
        <v>0.1710526315789474</v>
      </c>
      <c r="X3">
        <f t="shared" ref="X3:X10" si="3">(N3-0.44)/(9+1-2*0.44)</f>
        <v>0.1710526315789474</v>
      </c>
      <c r="Y3">
        <f t="shared" ref="Y3:Y10" si="4">(N3-0.44)/(9+1-2*0.44)</f>
        <v>0.1710526315789474</v>
      </c>
      <c r="Z3">
        <f t="shared" ref="Z3:Z10" si="5">(N3-0.44)/(9+1-2*0.44)</f>
        <v>0.1710526315789474</v>
      </c>
      <c r="AC3">
        <f t="shared" ref="AC3:AC10" si="6">-LN(-LN(V3))</f>
        <v>-0.5685947746688027</v>
      </c>
      <c r="AD3">
        <f t="shared" ref="AD3:AD10" si="7">-LN(-LN(W3))</f>
        <v>-0.5685947746688027</v>
      </c>
      <c r="AE3">
        <f t="shared" ref="AE3:AE10" si="8">-LN(-LN(X3))</f>
        <v>-0.5685947746688027</v>
      </c>
      <c r="AF3">
        <f t="shared" ref="AF3:AF10" si="9">-LN(-LN(Y3))</f>
        <v>-0.5685947746688027</v>
      </c>
      <c r="AG3">
        <f t="shared" ref="AG3:AG10" si="10">-LN(-LN(Z3))</f>
        <v>-0.5685947746688027</v>
      </c>
      <c r="AJ3">
        <f t="shared" ref="AJ3:AJ10" si="11">$H$13*AC3+$H$14</f>
        <v>122.60976864688527</v>
      </c>
      <c r="AK3">
        <f t="shared" ref="AK3:AK10" si="12">$I$13*AD3+$I$14</f>
        <v>239.63230206380561</v>
      </c>
      <c r="AL3">
        <f t="shared" ref="AL3:AL10" si="13">$J$13*AE3+$J$14</f>
        <v>282.58936856606618</v>
      </c>
      <c r="AM3">
        <f t="shared" ref="AM3:AM10" si="14">$K$13*AF3+$K$14</f>
        <v>341.16757910396996</v>
      </c>
      <c r="AN3">
        <f t="shared" ref="AN3:AN10" si="15">$L$13*AG3+$L$14</f>
        <v>166.54692801794678</v>
      </c>
    </row>
    <row r="4" spans="1:40" x14ac:dyDescent="0.3">
      <c r="A4">
        <v>-0.98363106779527942</v>
      </c>
      <c r="B4">
        <v>187.56512849999999</v>
      </c>
      <c r="C4">
        <v>180.34471771635955</v>
      </c>
      <c r="D4">
        <v>255.5008157038848</v>
      </c>
      <c r="E4">
        <v>105.18861972883431</v>
      </c>
      <c r="G4">
        <v>2014</v>
      </c>
      <c r="H4">
        <v>116.9</v>
      </c>
      <c r="I4">
        <v>527.29999999999995</v>
      </c>
      <c r="J4">
        <v>581.4</v>
      </c>
      <c r="K4">
        <v>697.8</v>
      </c>
      <c r="L4">
        <v>275.89999999999998</v>
      </c>
      <c r="N4">
        <v>3</v>
      </c>
      <c r="O4">
        <v>116.9</v>
      </c>
      <c r="P4">
        <v>294.10000000000002</v>
      </c>
      <c r="Q4">
        <v>324.3</v>
      </c>
      <c r="R4">
        <v>487.8</v>
      </c>
      <c r="S4">
        <v>192.4</v>
      </c>
      <c r="V4">
        <f t="shared" si="1"/>
        <v>0.28070175438596495</v>
      </c>
      <c r="W4">
        <f t="shared" si="2"/>
        <v>0.28070175438596495</v>
      </c>
      <c r="X4">
        <f t="shared" si="3"/>
        <v>0.28070175438596495</v>
      </c>
      <c r="Y4">
        <f t="shared" si="4"/>
        <v>0.28070175438596495</v>
      </c>
      <c r="Z4">
        <f t="shared" si="5"/>
        <v>0.28070175438596495</v>
      </c>
      <c r="AC4">
        <f t="shared" si="6"/>
        <v>-0.23938104329219342</v>
      </c>
      <c r="AD4">
        <f t="shared" si="7"/>
        <v>-0.23938104329219342</v>
      </c>
      <c r="AE4">
        <f t="shared" si="8"/>
        <v>-0.23938104329219342</v>
      </c>
      <c r="AF4">
        <f t="shared" si="9"/>
        <v>-0.23938104329219342</v>
      </c>
      <c r="AG4">
        <f t="shared" si="10"/>
        <v>-0.23938104329219342</v>
      </c>
      <c r="AJ4">
        <f t="shared" si="11"/>
        <v>145.52675514371282</v>
      </c>
      <c r="AK4">
        <f t="shared" si="12"/>
        <v>270.26766531520417</v>
      </c>
      <c r="AL4">
        <f t="shared" si="13"/>
        <v>319.71461564199996</v>
      </c>
      <c r="AM4">
        <f t="shared" si="14"/>
        <v>377.52969839888289</v>
      </c>
      <c r="AN4">
        <f t="shared" si="15"/>
        <v>188.88018705540014</v>
      </c>
    </row>
    <row r="5" spans="1:40" x14ac:dyDescent="0.3">
      <c r="A5">
        <v>-0.85202752773644619</v>
      </c>
      <c r="B5">
        <v>188.02386139999999</v>
      </c>
      <c r="C5">
        <v>207.55295109101544</v>
      </c>
      <c r="D5">
        <v>283.0295845950115</v>
      </c>
      <c r="E5">
        <v>132.07631758701939</v>
      </c>
      <c r="G5">
        <v>2015</v>
      </c>
      <c r="H5">
        <v>268.7</v>
      </c>
      <c r="I5">
        <v>417</v>
      </c>
      <c r="J5">
        <v>437.1</v>
      </c>
      <c r="K5">
        <v>559.29999999999995</v>
      </c>
      <c r="L5">
        <v>290.2</v>
      </c>
      <c r="N5">
        <v>4</v>
      </c>
      <c r="O5">
        <v>195.6</v>
      </c>
      <c r="P5">
        <v>352.9</v>
      </c>
      <c r="Q5">
        <v>427.5</v>
      </c>
      <c r="R5">
        <v>461.7</v>
      </c>
      <c r="S5">
        <v>290.8</v>
      </c>
      <c r="V5">
        <f t="shared" si="1"/>
        <v>0.3903508771929825</v>
      </c>
      <c r="W5">
        <f t="shared" si="2"/>
        <v>0.3903508771929825</v>
      </c>
      <c r="X5">
        <f t="shared" si="3"/>
        <v>0.3903508771929825</v>
      </c>
      <c r="Y5">
        <f t="shared" si="4"/>
        <v>0.3903508771929825</v>
      </c>
      <c r="Z5">
        <f t="shared" si="5"/>
        <v>0.3903508771929825</v>
      </c>
      <c r="AC5">
        <f t="shared" si="6"/>
        <v>6.1121157146006216E-2</v>
      </c>
      <c r="AD5">
        <f t="shared" si="7"/>
        <v>6.1121157146006216E-2</v>
      </c>
      <c r="AE5">
        <f t="shared" si="8"/>
        <v>6.1121157146006216E-2</v>
      </c>
      <c r="AF5">
        <f t="shared" si="9"/>
        <v>6.1121157146006216E-2</v>
      </c>
      <c r="AG5">
        <f t="shared" si="10"/>
        <v>6.1121157146006216E-2</v>
      </c>
      <c r="AJ5">
        <f t="shared" si="11"/>
        <v>166.44509545993478</v>
      </c>
      <c r="AK5">
        <f t="shared" si="12"/>
        <v>298.2312439599159</v>
      </c>
      <c r="AL5">
        <f t="shared" si="13"/>
        <v>353.60207954418934</v>
      </c>
      <c r="AM5">
        <f t="shared" si="14"/>
        <v>410.72058875156284</v>
      </c>
      <c r="AN5">
        <f t="shared" si="15"/>
        <v>209.26570820498324</v>
      </c>
    </row>
    <row r="6" spans="1:40" x14ac:dyDescent="0.3">
      <c r="A6">
        <v>-0.74042824680020491</v>
      </c>
      <c r="B6">
        <v>189.2131689</v>
      </c>
      <c r="C6">
        <v>230.62542527217812</v>
      </c>
      <c r="D6">
        <v>306.4712230499963</v>
      </c>
      <c r="E6">
        <v>154.77962749435994</v>
      </c>
      <c r="G6">
        <v>2016</v>
      </c>
      <c r="H6">
        <v>258.3</v>
      </c>
      <c r="I6">
        <v>352.9</v>
      </c>
      <c r="J6">
        <v>427.5</v>
      </c>
      <c r="K6">
        <v>461.7</v>
      </c>
      <c r="L6">
        <v>290.8</v>
      </c>
      <c r="N6">
        <v>5</v>
      </c>
      <c r="O6">
        <v>256</v>
      </c>
      <c r="P6">
        <v>361</v>
      </c>
      <c r="Q6">
        <v>437.1</v>
      </c>
      <c r="R6">
        <v>559.29999999999995</v>
      </c>
      <c r="S6">
        <v>290.2</v>
      </c>
      <c r="V6">
        <f t="shared" si="1"/>
        <v>0.5</v>
      </c>
      <c r="W6">
        <f t="shared" si="2"/>
        <v>0.5</v>
      </c>
      <c r="X6">
        <f t="shared" si="3"/>
        <v>0.5</v>
      </c>
      <c r="Y6">
        <f t="shared" si="4"/>
        <v>0.5</v>
      </c>
      <c r="Z6">
        <f t="shared" si="5"/>
        <v>0.5</v>
      </c>
      <c r="AC6">
        <f t="shared" si="6"/>
        <v>0.36651292058166435</v>
      </c>
      <c r="AD6">
        <f t="shared" si="7"/>
        <v>0.36651292058166435</v>
      </c>
      <c r="AE6">
        <f t="shared" si="8"/>
        <v>0.36651292058166435</v>
      </c>
      <c r="AF6">
        <f t="shared" si="9"/>
        <v>0.36651292058166435</v>
      </c>
      <c r="AG6">
        <f t="shared" si="10"/>
        <v>0.36651292058166435</v>
      </c>
      <c r="AJ6">
        <f t="shared" si="11"/>
        <v>187.70380447438686</v>
      </c>
      <c r="AK6">
        <f t="shared" si="12"/>
        <v>326.64982652545854</v>
      </c>
      <c r="AL6">
        <f t="shared" si="13"/>
        <v>388.04093671182653</v>
      </c>
      <c r="AM6">
        <f t="shared" si="14"/>
        <v>444.45153820891659</v>
      </c>
      <c r="AN6">
        <f t="shared" si="15"/>
        <v>229.98292838955362</v>
      </c>
    </row>
    <row r="7" spans="1:40" x14ac:dyDescent="0.3">
      <c r="A7">
        <v>-0.6410945451330563</v>
      </c>
      <c r="B7">
        <v>233.10428110000001</v>
      </c>
      <c r="C7">
        <v>251.16206536347042</v>
      </c>
      <c r="D7">
        <v>327.42494998686988</v>
      </c>
      <c r="E7">
        <v>174.89918074007096</v>
      </c>
      <c r="G7">
        <v>2017</v>
      </c>
      <c r="H7">
        <v>256</v>
      </c>
      <c r="I7">
        <v>361</v>
      </c>
      <c r="J7">
        <v>504.2</v>
      </c>
      <c r="K7">
        <v>428.5</v>
      </c>
      <c r="L7">
        <v>335.2</v>
      </c>
      <c r="N7">
        <v>6</v>
      </c>
      <c r="O7">
        <v>258.3</v>
      </c>
      <c r="P7">
        <v>396.8</v>
      </c>
      <c r="Q7">
        <v>479.5</v>
      </c>
      <c r="R7">
        <v>494.9</v>
      </c>
      <c r="S7">
        <v>290.89999999999998</v>
      </c>
      <c r="V7">
        <f t="shared" si="1"/>
        <v>0.60964912280701755</v>
      </c>
      <c r="W7">
        <f t="shared" si="2"/>
        <v>0.60964912280701755</v>
      </c>
      <c r="X7">
        <f t="shared" si="3"/>
        <v>0.60964912280701755</v>
      </c>
      <c r="Y7">
        <f t="shared" si="4"/>
        <v>0.60964912280701755</v>
      </c>
      <c r="Z7">
        <f t="shared" si="5"/>
        <v>0.60964912280701755</v>
      </c>
      <c r="AC7">
        <f t="shared" si="6"/>
        <v>0.70345675036772759</v>
      </c>
      <c r="AD7">
        <f t="shared" si="7"/>
        <v>0.70345675036772759</v>
      </c>
      <c r="AE7">
        <f t="shared" si="8"/>
        <v>0.70345675036772759</v>
      </c>
      <c r="AF7">
        <f t="shared" si="9"/>
        <v>0.70345675036772759</v>
      </c>
      <c r="AG7">
        <f t="shared" si="10"/>
        <v>0.70345675036772759</v>
      </c>
      <c r="AJ7">
        <f t="shared" si="11"/>
        <v>211.15889295173582</v>
      </c>
      <c r="AK7">
        <f t="shared" si="12"/>
        <v>358.0045229946802</v>
      </c>
      <c r="AL7">
        <f t="shared" si="13"/>
        <v>426.03790263184447</v>
      </c>
      <c r="AM7">
        <f t="shared" si="14"/>
        <v>481.6674577367379</v>
      </c>
      <c r="AN7">
        <f t="shared" si="15"/>
        <v>252.84058320309276</v>
      </c>
    </row>
    <row r="8" spans="1:40" x14ac:dyDescent="0.3">
      <c r="A8">
        <v>-0.54994939277534161</v>
      </c>
      <c r="B8">
        <v>250.4540131</v>
      </c>
      <c r="C8">
        <v>270.00577257080414</v>
      </c>
      <c r="D8">
        <v>346.73288509748068</v>
      </c>
      <c r="E8">
        <v>193.27866004412761</v>
      </c>
      <c r="G8">
        <v>2018</v>
      </c>
      <c r="H8">
        <v>309.8</v>
      </c>
      <c r="I8">
        <v>396.8</v>
      </c>
      <c r="J8">
        <v>479.5</v>
      </c>
      <c r="K8">
        <v>494.9</v>
      </c>
      <c r="L8">
        <v>290.89999999999998</v>
      </c>
      <c r="N8">
        <v>7</v>
      </c>
      <c r="O8">
        <v>260.5</v>
      </c>
      <c r="P8">
        <v>417</v>
      </c>
      <c r="Q8">
        <v>504.2</v>
      </c>
      <c r="R8">
        <v>428.5</v>
      </c>
      <c r="S8">
        <v>335.2</v>
      </c>
      <c r="V8">
        <f t="shared" si="1"/>
        <v>0.7192982456140351</v>
      </c>
      <c r="W8">
        <f t="shared" si="2"/>
        <v>0.7192982456140351</v>
      </c>
      <c r="X8">
        <f t="shared" si="3"/>
        <v>0.7192982456140351</v>
      </c>
      <c r="Y8">
        <f t="shared" si="4"/>
        <v>0.7192982456140351</v>
      </c>
      <c r="Z8">
        <f t="shared" si="5"/>
        <v>0.7192982456140351</v>
      </c>
      <c r="AC8">
        <f t="shared" si="6"/>
        <v>1.110242049550118</v>
      </c>
      <c r="AD8">
        <f t="shared" si="7"/>
        <v>1.110242049550118</v>
      </c>
      <c r="AE8">
        <f t="shared" si="8"/>
        <v>1.110242049550118</v>
      </c>
      <c r="AF8">
        <f t="shared" si="9"/>
        <v>1.110242049550118</v>
      </c>
      <c r="AG8">
        <f t="shared" si="10"/>
        <v>1.110242049550118</v>
      </c>
      <c r="AJ8">
        <f t="shared" si="11"/>
        <v>239.47573493001408</v>
      </c>
      <c r="AK8">
        <f t="shared" si="12"/>
        <v>395.85839790345557</v>
      </c>
      <c r="AL8">
        <f t="shared" si="13"/>
        <v>471.91085172134552</v>
      </c>
      <c r="AM8">
        <f t="shared" si="14"/>
        <v>526.59746571190908</v>
      </c>
      <c r="AN8">
        <f t="shared" si="15"/>
        <v>280.43615590681918</v>
      </c>
    </row>
    <row r="9" spans="1:40" x14ac:dyDescent="0.3">
      <c r="A9">
        <v>-0.46454168854718841</v>
      </c>
      <c r="B9">
        <v>281.95650490000003</v>
      </c>
      <c r="C9">
        <v>287.66329719053954</v>
      </c>
      <c r="D9">
        <v>364.90092867514511</v>
      </c>
      <c r="E9">
        <v>210.42566570593397</v>
      </c>
      <c r="G9">
        <v>2019</v>
      </c>
      <c r="H9">
        <v>82.19</v>
      </c>
      <c r="I9">
        <v>184.4</v>
      </c>
      <c r="J9">
        <v>195.7</v>
      </c>
      <c r="K9">
        <v>281.7</v>
      </c>
      <c r="L9">
        <v>113.7</v>
      </c>
      <c r="N9">
        <v>8</v>
      </c>
      <c r="O9">
        <v>268.7</v>
      </c>
      <c r="P9">
        <v>430</v>
      </c>
      <c r="Q9">
        <v>562.6</v>
      </c>
      <c r="R9">
        <v>560.79999999999995</v>
      </c>
      <c r="S9">
        <v>309.5</v>
      </c>
      <c r="V9">
        <f t="shared" si="1"/>
        <v>0.82894736842105265</v>
      </c>
      <c r="W9">
        <f t="shared" si="2"/>
        <v>0.82894736842105265</v>
      </c>
      <c r="X9">
        <f t="shared" si="3"/>
        <v>0.82894736842105265</v>
      </c>
      <c r="Y9">
        <f t="shared" si="4"/>
        <v>0.82894736842105265</v>
      </c>
      <c r="Z9">
        <f t="shared" si="5"/>
        <v>0.82894736842105265</v>
      </c>
      <c r="AC9">
        <f t="shared" si="6"/>
        <v>1.6734506310577866</v>
      </c>
      <c r="AD9">
        <f t="shared" si="7"/>
        <v>1.6734506310577866</v>
      </c>
      <c r="AE9">
        <f t="shared" si="8"/>
        <v>1.6734506310577866</v>
      </c>
      <c r="AF9">
        <f t="shared" si="9"/>
        <v>1.6734506310577866</v>
      </c>
      <c r="AG9">
        <f t="shared" si="10"/>
        <v>1.6734506310577866</v>
      </c>
      <c r="AJ9">
        <f t="shared" si="11"/>
        <v>278.68140051187714</v>
      </c>
      <c r="AK9">
        <f t="shared" si="12"/>
        <v>448.26842165502939</v>
      </c>
      <c r="AL9">
        <f t="shared" si="13"/>
        <v>535.4235662619152</v>
      </c>
      <c r="AM9">
        <f t="shared" si="14"/>
        <v>588.80464505119608</v>
      </c>
      <c r="AN9">
        <f t="shared" si="15"/>
        <v>318.64319876111097</v>
      </c>
    </row>
    <row r="10" spans="1:40" x14ac:dyDescent="0.3">
      <c r="A10">
        <v>-0.38325747919238834</v>
      </c>
      <c r="B10">
        <v>332.01502629999999</v>
      </c>
      <c r="C10">
        <v>304.46831426539245</v>
      </c>
      <c r="D10">
        <v>382.26184441471327</v>
      </c>
      <c r="E10">
        <v>226.67478411607163</v>
      </c>
      <c r="G10">
        <v>2020</v>
      </c>
      <c r="H10">
        <v>195.6</v>
      </c>
      <c r="I10">
        <v>294.10000000000002</v>
      </c>
      <c r="J10">
        <v>324.3</v>
      </c>
      <c r="K10">
        <v>487.8</v>
      </c>
      <c r="L10">
        <v>192.4</v>
      </c>
      <c r="N10">
        <v>9</v>
      </c>
      <c r="O10">
        <v>309.8</v>
      </c>
      <c r="P10">
        <v>527.29999999999995</v>
      </c>
      <c r="Q10">
        <v>581.4</v>
      </c>
      <c r="R10">
        <v>697.8</v>
      </c>
      <c r="S10">
        <v>275.89999999999998</v>
      </c>
      <c r="V10">
        <f t="shared" si="1"/>
        <v>0.93859649122807032</v>
      </c>
      <c r="W10">
        <f t="shared" si="2"/>
        <v>0.93859649122807032</v>
      </c>
      <c r="X10">
        <f t="shared" si="3"/>
        <v>0.93859649122807032</v>
      </c>
      <c r="Y10">
        <f t="shared" si="4"/>
        <v>0.93859649122807032</v>
      </c>
      <c r="Z10">
        <f t="shared" si="5"/>
        <v>0.93859649122807032</v>
      </c>
      <c r="AC10">
        <f t="shared" si="6"/>
        <v>2.7587708079393876</v>
      </c>
      <c r="AD10">
        <f t="shared" si="7"/>
        <v>2.7587708079393876</v>
      </c>
      <c r="AE10">
        <f t="shared" si="8"/>
        <v>2.7587708079393876</v>
      </c>
      <c r="AF10">
        <f t="shared" si="9"/>
        <v>2.7587708079393876</v>
      </c>
      <c r="AG10">
        <f t="shared" si="10"/>
        <v>2.7587708079393876</v>
      </c>
      <c r="AJ10">
        <f t="shared" si="11"/>
        <v>354.2319182084708</v>
      </c>
      <c r="AK10">
        <f t="shared" si="12"/>
        <v>549.26414174182014</v>
      </c>
      <c r="AL10">
        <f t="shared" si="13"/>
        <v>657.81451136235512</v>
      </c>
      <c r="AM10">
        <f t="shared" si="14"/>
        <v>708.67978385516869</v>
      </c>
      <c r="AN10">
        <f t="shared" si="15"/>
        <v>392.26933989294366</v>
      </c>
    </row>
    <row r="11" spans="1:40" x14ac:dyDescent="0.3">
      <c r="A11">
        <v>-0.30495811418672236</v>
      </c>
      <c r="B11">
        <v>339.91542650000002</v>
      </c>
      <c r="C11">
        <v>320.65623288224072</v>
      </c>
      <c r="D11">
        <v>399.05007603274549</v>
      </c>
      <c r="E11">
        <v>242.26238973173594</v>
      </c>
      <c r="G11" t="s">
        <v>25</v>
      </c>
      <c r="H11">
        <f>AVERAGE(H2:H10)</f>
        <v>202.37</v>
      </c>
      <c r="I11">
        <f t="shared" ref="I11:L11" si="16">AVERAGE(I2:I10)</f>
        <v>346.25555555555559</v>
      </c>
      <c r="J11">
        <f t="shared" si="16"/>
        <v>411.79999999999995</v>
      </c>
      <c r="K11">
        <f t="shared" si="16"/>
        <v>467.72222222222211</v>
      </c>
      <c r="L11">
        <f t="shared" si="16"/>
        <v>244.27555555555557</v>
      </c>
    </row>
    <row r="12" spans="1:40" x14ac:dyDescent="0.3">
      <c r="A12">
        <v>-0.2287936630402099</v>
      </c>
      <c r="B12">
        <v>351.29596709999998</v>
      </c>
      <c r="C12">
        <v>336.40277101275353</v>
      </c>
      <c r="D12">
        <v>415.44032948839032</v>
      </c>
      <c r="E12">
        <v>257.36521253711675</v>
      </c>
      <c r="G12" t="s">
        <v>35</v>
      </c>
      <c r="H12">
        <f>_xlfn.STDEV.S(H2:H10)</f>
        <v>89.279924675147456</v>
      </c>
      <c r="I12">
        <f t="shared" ref="I12:L12" si="17">_xlfn.STDEV.S(I2:I10)</f>
        <v>119.3491528155009</v>
      </c>
      <c r="J12">
        <f t="shared" si="17"/>
        <v>144.63242202217307</v>
      </c>
      <c r="K12">
        <f t="shared" si="17"/>
        <v>141.65943118777693</v>
      </c>
      <c r="L12">
        <f t="shared" si="17"/>
        <v>87.005841055516285</v>
      </c>
    </row>
    <row r="13" spans="1:40" x14ac:dyDescent="0.3">
      <c r="A13">
        <v>-0.15409785958123798</v>
      </c>
      <c r="B13">
        <v>353.72272090000001</v>
      </c>
      <c r="C13">
        <v>351.8456751452</v>
      </c>
      <c r="D13">
        <v>431.56929994202267</v>
      </c>
      <c r="E13">
        <v>272.12205034837734</v>
      </c>
      <c r="G13" t="s">
        <v>14</v>
      </c>
      <c r="H13">
        <f>SQRT((6*H12^2)/PI()^2)</f>
        <v>69.61127168359603</v>
      </c>
      <c r="I13">
        <f t="shared" ref="I13:L13" si="18">SQRT((6*I12^2)/PI()^2)</f>
        <v>93.05615268019524</v>
      </c>
      <c r="J13">
        <f t="shared" si="18"/>
        <v>112.76943680536743</v>
      </c>
      <c r="K13">
        <f t="shared" si="18"/>
        <v>110.45140536169173</v>
      </c>
      <c r="L13">
        <f t="shared" si="18"/>
        <v>67.838175959631698</v>
      </c>
    </row>
    <row r="14" spans="1:40" x14ac:dyDescent="0.3">
      <c r="A14">
        <v>-8.0324588136533703E-2</v>
      </c>
      <c r="B14">
        <v>377.18039659999999</v>
      </c>
      <c r="C14">
        <v>367.09785138135607</v>
      </c>
      <c r="D14">
        <v>447.54881002555447</v>
      </c>
      <c r="E14">
        <v>286.64689273715766</v>
      </c>
      <c r="G14" t="s">
        <v>24</v>
      </c>
      <c r="H14">
        <f>H11-0.5772*H13</f>
        <v>162.19037398422836</v>
      </c>
      <c r="I14">
        <f t="shared" ref="I14:L14" si="19">I11-0.5772*I13</f>
        <v>292.54354422854692</v>
      </c>
      <c r="J14">
        <f t="shared" si="19"/>
        <v>346.70948107594188</v>
      </c>
      <c r="K14">
        <f t="shared" si="19"/>
        <v>403.96967104745363</v>
      </c>
      <c r="L14">
        <f t="shared" si="19"/>
        <v>205.11936039165616</v>
      </c>
    </row>
    <row r="15" spans="1:40" x14ac:dyDescent="0.3">
      <c r="A15">
        <v>-7.0070188100635825E-3</v>
      </c>
      <c r="B15">
        <v>398.26228889999999</v>
      </c>
      <c r="C15">
        <v>382.2558139696369</v>
      </c>
      <c r="D15">
        <v>463.47426530840346</v>
      </c>
      <c r="E15">
        <v>301.03736263087035</v>
      </c>
      <c r="G15" t="s">
        <v>27</v>
      </c>
      <c r="H15">
        <f>_xlfn.T.INV(0.0975,8)</f>
        <v>-1.4142683680390189</v>
      </c>
      <c r="I15">
        <f t="shared" ref="I15:L15" si="20">_xlfn.T.INV(0.0975,8)</f>
        <v>-1.4142683680390189</v>
      </c>
      <c r="J15">
        <f t="shared" si="20"/>
        <v>-1.4142683680390189</v>
      </c>
      <c r="K15">
        <f t="shared" si="20"/>
        <v>-1.4142683680390189</v>
      </c>
      <c r="L15">
        <f t="shared" si="20"/>
        <v>-1.4142683680390189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U15" t="s">
        <v>30</v>
      </c>
      <c r="V15" t="s">
        <v>31</v>
      </c>
      <c r="W15" t="s">
        <v>32</v>
      </c>
      <c r="X15" t="s">
        <v>33</v>
      </c>
      <c r="Y15" t="s">
        <v>34</v>
      </c>
      <c r="AA15" t="s">
        <v>30</v>
      </c>
      <c r="AB15" t="s">
        <v>31</v>
      </c>
      <c r="AC15" t="s">
        <v>32</v>
      </c>
      <c r="AD15" t="s">
        <v>33</v>
      </c>
      <c r="AE15" t="s">
        <v>34</v>
      </c>
    </row>
    <row r="16" spans="1:40" x14ac:dyDescent="0.3">
      <c r="A16">
        <v>6.6270296970009246E-2</v>
      </c>
      <c r="B16">
        <v>433.58755500000001</v>
      </c>
      <c r="C16">
        <v>397.4054543814471</v>
      </c>
      <c r="D16">
        <v>479.43042999275553</v>
      </c>
      <c r="E16">
        <v>315.38047877013867</v>
      </c>
      <c r="O16">
        <v>-1.0261449235912585</v>
      </c>
      <c r="P16">
        <v>-1.0261449235912585</v>
      </c>
      <c r="Q16">
        <v>-1.0261449235912585</v>
      </c>
      <c r="R16">
        <v>-1.0261449235912585</v>
      </c>
      <c r="S16">
        <v>-1.0261449235912585</v>
      </c>
      <c r="U16">
        <v>73.34</v>
      </c>
      <c r="V16">
        <v>152.80000000000001</v>
      </c>
      <c r="W16">
        <v>193.9</v>
      </c>
      <c r="X16">
        <v>237</v>
      </c>
      <c r="Y16">
        <v>99.88</v>
      </c>
      <c r="AA16">
        <v>90.759120921374375</v>
      </c>
      <c r="AB16">
        <v>197.05444554683149</v>
      </c>
      <c r="AC16">
        <v>230.99169596186886</v>
      </c>
      <c r="AD16">
        <v>290.63052213203332</v>
      </c>
      <c r="AE16">
        <v>135.50756050498956</v>
      </c>
    </row>
    <row r="17" spans="1:31" x14ac:dyDescent="0.3">
      <c r="A17">
        <v>0.13989170325081973</v>
      </c>
      <c r="B17">
        <v>443.44181759999998</v>
      </c>
      <c r="C17">
        <v>412.62623341644235</v>
      </c>
      <c r="D17">
        <v>495.49562526454883</v>
      </c>
      <c r="E17">
        <v>329.75684156833586</v>
      </c>
      <c r="O17">
        <v>-0.5685947746688027</v>
      </c>
      <c r="P17">
        <v>-0.5685947746688027</v>
      </c>
      <c r="Q17">
        <v>-0.5685947746688027</v>
      </c>
      <c r="R17">
        <v>-0.5685947746688027</v>
      </c>
      <c r="S17">
        <v>-0.5685947746688027</v>
      </c>
      <c r="U17">
        <v>82.19</v>
      </c>
      <c r="V17">
        <v>184.4</v>
      </c>
      <c r="W17">
        <v>195.7</v>
      </c>
      <c r="X17">
        <v>281.7</v>
      </c>
      <c r="Y17">
        <v>113.7</v>
      </c>
      <c r="AA17">
        <v>122.60976864688527</v>
      </c>
      <c r="AB17">
        <v>239.63230206380561</v>
      </c>
      <c r="AC17">
        <v>282.58936856606618</v>
      </c>
      <c r="AD17">
        <v>341.16757910396996</v>
      </c>
      <c r="AE17">
        <v>166.54692801794678</v>
      </c>
    </row>
    <row r="18" spans="1:31" x14ac:dyDescent="0.3">
      <c r="A18">
        <v>0.21422623036565491</v>
      </c>
      <c r="B18">
        <v>453.80578350000002</v>
      </c>
      <c r="C18">
        <v>427.99444585685967</v>
      </c>
      <c r="D18">
        <v>511.7449997749406</v>
      </c>
      <c r="E18">
        <v>344.24389193877875</v>
      </c>
      <c r="O18">
        <v>-0.23938104329219342</v>
      </c>
      <c r="P18">
        <v>-0.23938104329219342</v>
      </c>
      <c r="Q18">
        <v>-0.23938104329219342</v>
      </c>
      <c r="R18">
        <v>-0.23938104329219342</v>
      </c>
      <c r="S18">
        <v>-0.23938104329219342</v>
      </c>
      <c r="U18">
        <v>116.9</v>
      </c>
      <c r="V18">
        <v>294.10000000000002</v>
      </c>
      <c r="W18">
        <v>324.3</v>
      </c>
      <c r="X18">
        <v>487.8</v>
      </c>
      <c r="Y18">
        <v>192.4</v>
      </c>
      <c r="AA18">
        <v>145.52675514371282</v>
      </c>
      <c r="AB18">
        <v>270.26766531520417</v>
      </c>
      <c r="AC18">
        <v>319.71461564199996</v>
      </c>
      <c r="AD18">
        <v>377.52969839888289</v>
      </c>
      <c r="AE18">
        <v>188.88018705540014</v>
      </c>
    </row>
    <row r="19" spans="1:31" x14ac:dyDescent="0.3">
      <c r="A19">
        <v>0.28964089674800109</v>
      </c>
      <c r="B19">
        <v>455.90123010000002</v>
      </c>
      <c r="C19">
        <v>443.58597053685986</v>
      </c>
      <c r="D19">
        <v>528.25328508602252</v>
      </c>
      <c r="E19">
        <v>358.91865598769721</v>
      </c>
      <c r="O19">
        <v>6.1121157146006216E-2</v>
      </c>
      <c r="P19">
        <v>6.1121157146006216E-2</v>
      </c>
      <c r="Q19">
        <v>6.1121157146006216E-2</v>
      </c>
      <c r="R19">
        <v>6.1121157146006216E-2</v>
      </c>
      <c r="S19">
        <v>6.1121157146006216E-2</v>
      </c>
      <c r="U19">
        <v>195.6</v>
      </c>
      <c r="V19">
        <v>352.9</v>
      </c>
      <c r="W19">
        <v>427.5</v>
      </c>
      <c r="X19">
        <v>461.7</v>
      </c>
      <c r="Y19">
        <v>290.8</v>
      </c>
      <c r="AA19">
        <v>166.44509545993478</v>
      </c>
      <c r="AB19">
        <v>298.2312439599159</v>
      </c>
      <c r="AC19">
        <v>353.60207954418934</v>
      </c>
      <c r="AD19">
        <v>410.72058875156284</v>
      </c>
      <c r="AE19">
        <v>209.26570820498324</v>
      </c>
    </row>
    <row r="20" spans="1:31" x14ac:dyDescent="0.3">
      <c r="A20">
        <v>0.36651292058166435</v>
      </c>
      <c r="B20">
        <v>480.36698560000002</v>
      </c>
      <c r="C20">
        <v>459.47879502709316</v>
      </c>
      <c r="D20">
        <v>545.09732526102925</v>
      </c>
      <c r="E20">
        <v>373.86026479315706</v>
      </c>
      <c r="O20">
        <v>0.36651292058166435</v>
      </c>
      <c r="P20">
        <v>0.36651292058166435</v>
      </c>
      <c r="Q20">
        <v>0.36651292058166435</v>
      </c>
      <c r="R20">
        <v>0.36651292058166435</v>
      </c>
      <c r="S20">
        <v>0.36651292058166435</v>
      </c>
      <c r="U20">
        <v>256</v>
      </c>
      <c r="V20">
        <v>361</v>
      </c>
      <c r="W20">
        <v>437.1</v>
      </c>
      <c r="X20">
        <v>559.29999999999995</v>
      </c>
      <c r="Y20">
        <v>290.2</v>
      </c>
      <c r="AA20">
        <v>187.70380447438686</v>
      </c>
      <c r="AB20">
        <v>326.64982652545854</v>
      </c>
      <c r="AC20">
        <v>388.04093671182653</v>
      </c>
      <c r="AD20">
        <v>444.45153820891659</v>
      </c>
      <c r="AE20">
        <v>229.98292838955362</v>
      </c>
    </row>
    <row r="21" spans="1:31" x14ac:dyDescent="0.3">
      <c r="A21">
        <v>0.44524195631020602</v>
      </c>
      <c r="B21">
        <v>490.90085249999998</v>
      </c>
      <c r="C21">
        <v>475.75554545877731</v>
      </c>
      <c r="D21">
        <v>562.35861111434804</v>
      </c>
      <c r="E21">
        <v>389.15247980320652</v>
      </c>
      <c r="O21">
        <v>0.70345675036772759</v>
      </c>
      <c r="P21">
        <v>0.70345675036772759</v>
      </c>
      <c r="Q21">
        <v>0.70345675036772759</v>
      </c>
      <c r="R21">
        <v>0.70345675036772759</v>
      </c>
      <c r="S21">
        <v>0.70345675036772759</v>
      </c>
      <c r="U21">
        <v>258.3</v>
      </c>
      <c r="V21">
        <v>396.8</v>
      </c>
      <c r="W21">
        <v>479.5</v>
      </c>
      <c r="X21">
        <v>494.9</v>
      </c>
      <c r="Y21">
        <v>290.89999999999998</v>
      </c>
      <c r="AA21">
        <v>211.15889295173582</v>
      </c>
      <c r="AB21">
        <v>358.0045229946802</v>
      </c>
      <c r="AC21">
        <v>426.03790263184447</v>
      </c>
      <c r="AD21">
        <v>481.6674577367379</v>
      </c>
      <c r="AE21">
        <v>252.84058320309276</v>
      </c>
    </row>
    <row r="22" spans="1:31" x14ac:dyDescent="0.3">
      <c r="A22">
        <v>0.52626339645226639</v>
      </c>
      <c r="B22">
        <v>506.30521709999999</v>
      </c>
      <c r="C22">
        <v>492.50623659330449</v>
      </c>
      <c r="D22">
        <v>580.12603422795939</v>
      </c>
      <c r="E22">
        <v>404.88643895864959</v>
      </c>
      <c r="O22">
        <v>1.110242049550118</v>
      </c>
      <c r="P22">
        <v>1.110242049550118</v>
      </c>
      <c r="Q22">
        <v>1.110242049550118</v>
      </c>
      <c r="R22">
        <v>1.110242049550118</v>
      </c>
      <c r="S22">
        <v>1.110242049550118</v>
      </c>
      <c r="U22">
        <v>260.5</v>
      </c>
      <c r="V22">
        <v>417</v>
      </c>
      <c r="W22">
        <v>504.2</v>
      </c>
      <c r="X22">
        <v>428.5</v>
      </c>
      <c r="Y22">
        <v>335.2</v>
      </c>
      <c r="AA22">
        <v>239.47573493001408</v>
      </c>
      <c r="AB22">
        <v>395.85839790345557</v>
      </c>
      <c r="AC22">
        <v>471.91085172134552</v>
      </c>
      <c r="AD22">
        <v>526.59746571190908</v>
      </c>
      <c r="AE22">
        <v>280.43615590681918</v>
      </c>
    </row>
    <row r="23" spans="1:31" x14ac:dyDescent="0.3">
      <c r="A23">
        <v>0.61006387825584041</v>
      </c>
      <c r="B23">
        <v>517.68858939999996</v>
      </c>
      <c r="C23">
        <v>509.83147772892249</v>
      </c>
      <c r="D23">
        <v>598.4990963346105</v>
      </c>
      <c r="E23">
        <v>421.16385912323449</v>
      </c>
      <c r="O23">
        <v>1.6734506310577866</v>
      </c>
      <c r="P23">
        <v>1.6734506310577866</v>
      </c>
      <c r="Q23">
        <v>1.6734506310577866</v>
      </c>
      <c r="R23">
        <v>1.6734506310577866</v>
      </c>
      <c r="S23">
        <v>1.6734506310577866</v>
      </c>
      <c r="U23">
        <v>268.7</v>
      </c>
      <c r="V23">
        <v>430</v>
      </c>
      <c r="W23">
        <v>562.6</v>
      </c>
      <c r="X23">
        <v>560.79999999999995</v>
      </c>
      <c r="Y23">
        <v>309.5</v>
      </c>
      <c r="AA23">
        <v>278.68140051187714</v>
      </c>
      <c r="AB23">
        <v>448.26842165502939</v>
      </c>
      <c r="AC23">
        <v>535.4235662619152</v>
      </c>
      <c r="AD23">
        <v>588.80464505119608</v>
      </c>
      <c r="AE23">
        <v>318.64319876111097</v>
      </c>
    </row>
    <row r="24" spans="1:31" x14ac:dyDescent="0.3">
      <c r="A24">
        <v>0.69720042127676629</v>
      </c>
      <c r="B24">
        <v>518.87789699999996</v>
      </c>
      <c r="C24">
        <v>527.84642927896607</v>
      </c>
      <c r="D24">
        <v>617.59186891765034</v>
      </c>
      <c r="E24">
        <v>438.10098964028174</v>
      </c>
      <c r="O24">
        <v>2.7587708079393876</v>
      </c>
      <c r="P24">
        <v>2.7587708079393876</v>
      </c>
      <c r="Q24">
        <v>2.7587708079393876</v>
      </c>
      <c r="R24">
        <v>2.7587708079393876</v>
      </c>
      <c r="S24">
        <v>2.7587708079393876</v>
      </c>
      <c r="U24">
        <v>309.8</v>
      </c>
      <c r="V24">
        <v>527.29999999999995</v>
      </c>
      <c r="W24">
        <v>581.4</v>
      </c>
      <c r="X24">
        <v>697.8</v>
      </c>
      <c r="Y24">
        <v>275.89999999999998</v>
      </c>
      <c r="AA24">
        <v>354.2319182084708</v>
      </c>
      <c r="AB24">
        <v>549.26414174182014</v>
      </c>
      <c r="AC24">
        <v>657.81451136235512</v>
      </c>
      <c r="AD24">
        <v>708.67978385516869</v>
      </c>
      <c r="AE24">
        <v>392.26933989294366</v>
      </c>
    </row>
    <row r="25" spans="1:31" x14ac:dyDescent="0.3">
      <c r="A25">
        <v>0.7883251610068398</v>
      </c>
      <c r="B25">
        <v>527.88265420000005</v>
      </c>
      <c r="C25">
        <v>546.68591629939294</v>
      </c>
      <c r="D25">
        <v>637.53810932602721</v>
      </c>
      <c r="E25">
        <v>455.83372327275868</v>
      </c>
    </row>
    <row r="26" spans="1:31" x14ac:dyDescent="0.3">
      <c r="A26">
        <v>0.88421857464283204</v>
      </c>
      <c r="B26">
        <v>552.60326120000002</v>
      </c>
      <c r="C26">
        <v>566.51129771492401</v>
      </c>
      <c r="D26">
        <v>658.49813217849271</v>
      </c>
      <c r="E26">
        <v>474.52446325135531</v>
      </c>
    </row>
    <row r="27" spans="1:31" x14ac:dyDescent="0.3">
      <c r="A27">
        <v>0.98583568856603254</v>
      </c>
      <c r="B27">
        <v>559.5975224</v>
      </c>
      <c r="C27">
        <v>587.5200194350648</v>
      </c>
      <c r="D27">
        <v>680.66836427585235</v>
      </c>
      <c r="E27">
        <v>494.37167459427718</v>
      </c>
    </row>
    <row r="28" spans="1:31" x14ac:dyDescent="0.3">
      <c r="A28">
        <v>1.0943725391920132</v>
      </c>
      <c r="B28">
        <v>564.77950529999998</v>
      </c>
      <c r="C28">
        <v>609.95935473152917</v>
      </c>
      <c r="D28">
        <v>704.29508642212284</v>
      </c>
      <c r="E28">
        <v>515.62362304093551</v>
      </c>
    </row>
    <row r="29" spans="1:31" x14ac:dyDescent="0.3">
      <c r="A29">
        <v>1.2113651882158119</v>
      </c>
      <c r="B29">
        <v>614.13576890000002</v>
      </c>
      <c r="C29">
        <v>634.14687503938489</v>
      </c>
      <c r="D29">
        <v>729.69490534714248</v>
      </c>
      <c r="E29">
        <v>538.59884473162731</v>
      </c>
    </row>
    <row r="30" spans="1:31" x14ac:dyDescent="0.3">
      <c r="A30">
        <v>1.338843110241174</v>
      </c>
      <c r="B30">
        <v>649.22034180000003</v>
      </c>
      <c r="C30">
        <v>660.50216191868662</v>
      </c>
      <c r="D30">
        <v>757.28646649776465</v>
      </c>
      <c r="E30">
        <v>563.7178573396086</v>
      </c>
    </row>
    <row r="31" spans="1:31" x14ac:dyDescent="0.3">
      <c r="A31">
        <v>1.4795778240159212</v>
      </c>
      <c r="B31">
        <v>655.25183010000001</v>
      </c>
      <c r="C31">
        <v>689.59821005376648</v>
      </c>
      <c r="D31">
        <v>787.64185760469377</v>
      </c>
      <c r="E31">
        <v>591.55456250283919</v>
      </c>
    </row>
    <row r="32" spans="1:31" x14ac:dyDescent="0.3">
      <c r="A32">
        <v>1.637508512956007</v>
      </c>
      <c r="B32">
        <v>678.78312970000002</v>
      </c>
      <c r="C32">
        <v>722.24942171403848</v>
      </c>
      <c r="D32">
        <v>821.57460347775964</v>
      </c>
      <c r="E32">
        <v>622.92423995031731</v>
      </c>
    </row>
    <row r="33" spans="1:40" x14ac:dyDescent="0.3">
      <c r="A33">
        <v>1.8185219390627054</v>
      </c>
      <c r="B33">
        <v>704.52314320000005</v>
      </c>
      <c r="C33">
        <v>759.67284922408373</v>
      </c>
      <c r="D33">
        <v>860.30090860501946</v>
      </c>
      <c r="E33">
        <v>659.04478984314801</v>
      </c>
    </row>
    <row r="34" spans="1:40" x14ac:dyDescent="0.3">
      <c r="A34">
        <v>2.0320133195141543</v>
      </c>
      <c r="B34">
        <v>801.42339219999997</v>
      </c>
      <c r="C34">
        <v>803.81089672800113</v>
      </c>
      <c r="D34">
        <v>905.7623588667127</v>
      </c>
      <c r="E34">
        <v>701.85943458928955</v>
      </c>
    </row>
    <row r="35" spans="1:40" x14ac:dyDescent="0.3">
      <c r="A35">
        <v>2.2944083506631965</v>
      </c>
      <c r="B35">
        <v>803.34893780000004</v>
      </c>
      <c r="C35">
        <v>858.05947728032982</v>
      </c>
      <c r="D35">
        <v>961.35407842066161</v>
      </c>
      <c r="E35">
        <v>754.76487613999802</v>
      </c>
    </row>
    <row r="36" spans="1:40" x14ac:dyDescent="0.3">
      <c r="A36">
        <v>2.6386319243628771</v>
      </c>
      <c r="B36">
        <v>875.01887650000003</v>
      </c>
      <c r="C36">
        <v>929.22561249289356</v>
      </c>
      <c r="D36">
        <v>1033.8823290109003</v>
      </c>
      <c r="E36">
        <v>824.5688959748868</v>
      </c>
    </row>
    <row r="37" spans="1:40" x14ac:dyDescent="0.3">
      <c r="A37">
        <v>3.1480796439679106</v>
      </c>
      <c r="B37">
        <v>1080.004529</v>
      </c>
      <c r="C37">
        <v>1034.5508373386947</v>
      </c>
      <c r="D37">
        <v>1140.5879143211905</v>
      </c>
      <c r="E37">
        <v>928.51376035619887</v>
      </c>
    </row>
    <row r="38" spans="1:40" x14ac:dyDescent="0.3">
      <c r="A38">
        <v>4.1863834506241284</v>
      </c>
      <c r="B38">
        <v>1441.6106600000001</v>
      </c>
      <c r="C38">
        <v>1249.2138492353856</v>
      </c>
      <c r="D38">
        <v>1356.6488285145949</v>
      </c>
      <c r="E38">
        <v>1141.7788699561763</v>
      </c>
    </row>
    <row r="45" spans="1:40" x14ac:dyDescent="0.3">
      <c r="G45" t="s">
        <v>6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N45" t="s">
        <v>6</v>
      </c>
      <c r="O45" t="s">
        <v>36</v>
      </c>
      <c r="P45" t="s">
        <v>37</v>
      </c>
      <c r="Q45" t="s">
        <v>38</v>
      </c>
      <c r="R45" t="s">
        <v>39</v>
      </c>
      <c r="S45" t="s">
        <v>40</v>
      </c>
      <c r="U45" t="s">
        <v>12</v>
      </c>
      <c r="V45" t="s">
        <v>36</v>
      </c>
      <c r="W45" t="s">
        <v>37</v>
      </c>
      <c r="X45" t="s">
        <v>38</v>
      </c>
      <c r="Y45" t="s">
        <v>39</v>
      </c>
      <c r="Z45" t="s">
        <v>40</v>
      </c>
      <c r="AB45" t="s">
        <v>13</v>
      </c>
      <c r="AC45" t="s">
        <v>36</v>
      </c>
      <c r="AD45" t="s">
        <v>37</v>
      </c>
      <c r="AE45" t="s">
        <v>38</v>
      </c>
      <c r="AF45" t="s">
        <v>39</v>
      </c>
      <c r="AG45" t="s">
        <v>40</v>
      </c>
      <c r="AI45" t="s">
        <v>22</v>
      </c>
      <c r="AJ45" t="s">
        <v>36</v>
      </c>
      <c r="AK45" t="s">
        <v>37</v>
      </c>
      <c r="AL45" t="s">
        <v>38</v>
      </c>
      <c r="AM45" t="s">
        <v>39</v>
      </c>
      <c r="AN45" t="s">
        <v>40</v>
      </c>
    </row>
    <row r="46" spans="1:40" x14ac:dyDescent="0.3">
      <c r="G46">
        <v>1</v>
      </c>
      <c r="H46">
        <v>367.3</v>
      </c>
      <c r="I46">
        <v>570.9</v>
      </c>
      <c r="J46">
        <v>671.8</v>
      </c>
      <c r="K46">
        <v>268.7</v>
      </c>
      <c r="L46">
        <v>872.5</v>
      </c>
      <c r="N46">
        <v>1</v>
      </c>
      <c r="O46">
        <v>135.9</v>
      </c>
      <c r="P46">
        <v>183.8</v>
      </c>
      <c r="Q46">
        <v>359.6</v>
      </c>
      <c r="R46">
        <v>152.9</v>
      </c>
      <c r="S46">
        <v>343.8</v>
      </c>
      <c r="V46">
        <f>(N46-0.44)/(9+1-2*0.44)</f>
        <v>6.1403508771929835E-2</v>
      </c>
      <c r="W46">
        <f>(N46-0.44)/(9+1-2*0.44)</f>
        <v>6.1403508771929835E-2</v>
      </c>
      <c r="X46">
        <f>(N46-0.44)/(9+1-2*0.44)</f>
        <v>6.1403508771929835E-2</v>
      </c>
      <c r="Y46">
        <f>(N46-0.44)/(9+1-2*0.44)</f>
        <v>6.1403508771929835E-2</v>
      </c>
      <c r="Z46">
        <f>(N46-0.44)/(9+1-2*0.44)</f>
        <v>6.1403508771929835E-2</v>
      </c>
      <c r="AC46">
        <f>-LN(-LN(V46))</f>
        <v>-1.0261449235912585</v>
      </c>
      <c r="AD46">
        <f t="shared" ref="AD46:AD54" si="21">-LN(-LN(W46))</f>
        <v>-1.0261449235912585</v>
      </c>
      <c r="AE46">
        <f t="shared" ref="AE46:AE54" si="22">-LN(-LN(X46))</f>
        <v>-1.0261449235912585</v>
      </c>
      <c r="AF46">
        <f t="shared" ref="AF46:AF54" si="23">-LN(-LN(Y46))</f>
        <v>-1.0261449235912585</v>
      </c>
      <c r="AG46">
        <f t="shared" ref="AG46:AG54" si="24">-LN(-LN(Z46))</f>
        <v>-1.0261449235912585</v>
      </c>
      <c r="AJ46">
        <f>$H$57*AC46+$H$58</f>
        <v>178.88085992094895</v>
      </c>
      <c r="AK46">
        <f>$I$57*AD46+$I$58</f>
        <v>227.1613415413845</v>
      </c>
      <c r="AL46">
        <f>$J$57*AE46+$J$58</f>
        <v>419.64375198883124</v>
      </c>
      <c r="AM46">
        <f>$K$57*AF46+$K$58</f>
        <v>172.09647676207661</v>
      </c>
      <c r="AN46">
        <f>$L$57*AG46+$L$58</f>
        <v>392.67697754872063</v>
      </c>
    </row>
    <row r="47" spans="1:40" x14ac:dyDescent="0.3">
      <c r="G47">
        <v>2</v>
      </c>
      <c r="H47">
        <v>135.9</v>
      </c>
      <c r="I47">
        <v>183.8</v>
      </c>
      <c r="J47">
        <v>359.6</v>
      </c>
      <c r="K47">
        <v>152.9</v>
      </c>
      <c r="L47">
        <v>343.8</v>
      </c>
      <c r="N47">
        <v>2</v>
      </c>
      <c r="O47">
        <v>188</v>
      </c>
      <c r="P47">
        <v>213.7</v>
      </c>
      <c r="Q47">
        <v>399.9</v>
      </c>
      <c r="R47">
        <v>167.5</v>
      </c>
      <c r="S47">
        <v>378.8</v>
      </c>
      <c r="V47">
        <f t="shared" ref="V47:V54" si="25">(N47-0.44)/(9+1-2*0.44)</f>
        <v>0.1710526315789474</v>
      </c>
      <c r="W47">
        <f t="shared" ref="W47:W54" si="26">(N47-0.44)/(9+1-2*0.44)</f>
        <v>0.1710526315789474</v>
      </c>
      <c r="X47">
        <f t="shared" ref="X47:X54" si="27">(N47-0.44)/(9+1-2*0.44)</f>
        <v>0.1710526315789474</v>
      </c>
      <c r="Y47">
        <f t="shared" ref="Y47:Y54" si="28">(N47-0.44)/(9+1-2*0.44)</f>
        <v>0.1710526315789474</v>
      </c>
      <c r="Z47">
        <f t="shared" ref="Z47:Z54" si="29">(N47-0.44)/(9+1-2*0.44)</f>
        <v>0.1710526315789474</v>
      </c>
      <c r="AC47">
        <f t="shared" ref="AC47:AC54" si="30">-LN(-LN(V47))</f>
        <v>-0.5685947746688027</v>
      </c>
      <c r="AD47">
        <f t="shared" si="21"/>
        <v>-0.5685947746688027</v>
      </c>
      <c r="AE47">
        <f t="shared" si="22"/>
        <v>-0.5685947746688027</v>
      </c>
      <c r="AF47">
        <f t="shared" si="23"/>
        <v>-0.5685947746688027</v>
      </c>
      <c r="AG47">
        <f t="shared" si="24"/>
        <v>-0.5685947746688027</v>
      </c>
      <c r="AJ47">
        <f t="shared" ref="AJ47:AJ54" si="31">$H$57*AC47+$H$58</f>
        <v>217.06595826159088</v>
      </c>
      <c r="AK47">
        <f t="shared" ref="AK47:AK54" si="32">$I$57*AD47+$I$58</f>
        <v>285.82905424948024</v>
      </c>
      <c r="AL47">
        <f t="shared" ref="AL47:AL54" si="33">$J$57*AE47+$J$58</f>
        <v>474.10565817316058</v>
      </c>
      <c r="AM47">
        <f t="shared" ref="AM47:AM54" si="34">$K$57*AF47+$K$58</f>
        <v>195.06994834908272</v>
      </c>
      <c r="AN47">
        <f t="shared" ref="AN47:AN54" si="35">$L$57*AG47+$L$58</f>
        <v>473.29803743677678</v>
      </c>
    </row>
    <row r="48" spans="1:40" x14ac:dyDescent="0.3">
      <c r="G48">
        <v>3</v>
      </c>
      <c r="H48">
        <v>486.5</v>
      </c>
      <c r="I48">
        <v>648.79999999999995</v>
      </c>
      <c r="J48">
        <v>846.5</v>
      </c>
      <c r="K48">
        <v>221.7</v>
      </c>
      <c r="L48">
        <v>1070</v>
      </c>
      <c r="N48">
        <v>3</v>
      </c>
      <c r="O48">
        <v>245.2</v>
      </c>
      <c r="P48">
        <v>590.4</v>
      </c>
      <c r="Q48">
        <v>623.5</v>
      </c>
      <c r="R48">
        <v>265.8</v>
      </c>
      <c r="S48">
        <v>747.6</v>
      </c>
      <c r="V48">
        <f t="shared" si="25"/>
        <v>0.28070175438596495</v>
      </c>
      <c r="W48">
        <f t="shared" si="26"/>
        <v>0.28070175438596495</v>
      </c>
      <c r="X48">
        <f t="shared" si="27"/>
        <v>0.28070175438596495</v>
      </c>
      <c r="Y48">
        <f t="shared" si="28"/>
        <v>0.28070175438596495</v>
      </c>
      <c r="Z48">
        <f t="shared" si="29"/>
        <v>0.28070175438596495</v>
      </c>
      <c r="AC48">
        <f t="shared" si="30"/>
        <v>-0.23938104329219342</v>
      </c>
      <c r="AD48">
        <f t="shared" si="21"/>
        <v>-0.23938104329219342</v>
      </c>
      <c r="AE48">
        <f t="shared" si="22"/>
        <v>-0.23938104329219342</v>
      </c>
      <c r="AF48">
        <f t="shared" si="23"/>
        <v>-0.23938104329219342</v>
      </c>
      <c r="AG48">
        <f t="shared" si="24"/>
        <v>-0.23938104329219342</v>
      </c>
      <c r="AJ48">
        <f t="shared" si="31"/>
        <v>244.54067056866961</v>
      </c>
      <c r="AK48">
        <f t="shared" si="32"/>
        <v>328.04129406067614</v>
      </c>
      <c r="AL48">
        <f t="shared" si="33"/>
        <v>513.29176136873525</v>
      </c>
      <c r="AM48">
        <f t="shared" si="34"/>
        <v>211.5996824594186</v>
      </c>
      <c r="AN48">
        <f t="shared" si="35"/>
        <v>531.30601758013415</v>
      </c>
    </row>
    <row r="49" spans="7:40" x14ac:dyDescent="0.3">
      <c r="G49">
        <v>4</v>
      </c>
      <c r="H49">
        <v>382.8</v>
      </c>
      <c r="I49">
        <v>434.8</v>
      </c>
      <c r="J49">
        <v>737.1</v>
      </c>
      <c r="K49">
        <v>308.2</v>
      </c>
      <c r="L49">
        <v>715.1</v>
      </c>
      <c r="N49">
        <v>4</v>
      </c>
      <c r="O49">
        <v>324.7</v>
      </c>
      <c r="P49">
        <v>445</v>
      </c>
      <c r="Q49">
        <v>613.4</v>
      </c>
      <c r="R49">
        <v>349.9</v>
      </c>
      <c r="S49">
        <v>652.20000000000005</v>
      </c>
      <c r="V49">
        <f t="shared" si="25"/>
        <v>0.3903508771929825</v>
      </c>
      <c r="W49">
        <f t="shared" si="26"/>
        <v>0.3903508771929825</v>
      </c>
      <c r="X49">
        <f t="shared" si="27"/>
        <v>0.3903508771929825</v>
      </c>
      <c r="Y49">
        <f t="shared" si="28"/>
        <v>0.3903508771929825</v>
      </c>
      <c r="Z49">
        <f t="shared" si="29"/>
        <v>0.3903508771929825</v>
      </c>
      <c r="AC49">
        <f t="shared" si="30"/>
        <v>6.1121157146006216E-2</v>
      </c>
      <c r="AD49">
        <f t="shared" si="21"/>
        <v>6.1121157146006216E-2</v>
      </c>
      <c r="AE49">
        <f t="shared" si="22"/>
        <v>6.1121157146006216E-2</v>
      </c>
      <c r="AF49">
        <f t="shared" si="23"/>
        <v>6.1121157146006216E-2</v>
      </c>
      <c r="AG49">
        <f t="shared" si="24"/>
        <v>6.1121157146006216E-2</v>
      </c>
      <c r="AJ49">
        <f t="shared" si="31"/>
        <v>269.61924633208093</v>
      </c>
      <c r="AK49">
        <f t="shared" si="32"/>
        <v>366.57210167810894</v>
      </c>
      <c r="AL49">
        <f t="shared" si="33"/>
        <v>549.06034911150402</v>
      </c>
      <c r="AM49">
        <f t="shared" si="34"/>
        <v>226.68781821865269</v>
      </c>
      <c r="AN49">
        <f t="shared" si="35"/>
        <v>584.25498056282709</v>
      </c>
    </row>
    <row r="50" spans="7:40" x14ac:dyDescent="0.3">
      <c r="G50">
        <v>5</v>
      </c>
      <c r="H50">
        <v>324.7</v>
      </c>
      <c r="I50">
        <v>445</v>
      </c>
      <c r="J50">
        <v>613.4</v>
      </c>
      <c r="K50">
        <v>349.9</v>
      </c>
      <c r="L50">
        <v>652.20000000000005</v>
      </c>
      <c r="N50">
        <v>5</v>
      </c>
      <c r="O50">
        <v>328.9</v>
      </c>
      <c r="P50">
        <v>487.1</v>
      </c>
      <c r="Q50">
        <v>581</v>
      </c>
      <c r="R50">
        <v>296.60000000000002</v>
      </c>
      <c r="S50">
        <v>708.7</v>
      </c>
      <c r="V50">
        <f t="shared" si="25"/>
        <v>0.5</v>
      </c>
      <c r="W50">
        <f t="shared" si="26"/>
        <v>0.5</v>
      </c>
      <c r="X50">
        <f t="shared" si="27"/>
        <v>0.5</v>
      </c>
      <c r="Y50">
        <f t="shared" si="28"/>
        <v>0.5</v>
      </c>
      <c r="Z50">
        <f t="shared" si="29"/>
        <v>0.5</v>
      </c>
      <c r="AC50">
        <f t="shared" si="30"/>
        <v>0.36651292058166435</v>
      </c>
      <c r="AD50">
        <f t="shared" si="21"/>
        <v>0.36651292058166435</v>
      </c>
      <c r="AE50">
        <f t="shared" si="22"/>
        <v>0.36651292058166435</v>
      </c>
      <c r="AF50">
        <f t="shared" si="23"/>
        <v>0.36651292058166435</v>
      </c>
      <c r="AG50">
        <f t="shared" si="24"/>
        <v>0.36651292058166435</v>
      </c>
      <c r="AJ50">
        <f t="shared" si="31"/>
        <v>295.10588325412243</v>
      </c>
      <c r="AK50">
        <f t="shared" si="32"/>
        <v>405.72985582343296</v>
      </c>
      <c r="AL50">
        <f t="shared" si="33"/>
        <v>585.41093845972966</v>
      </c>
      <c r="AM50">
        <f t="shared" si="34"/>
        <v>242.02145763876317</v>
      </c>
      <c r="AN50">
        <f t="shared" si="35"/>
        <v>638.06549227886194</v>
      </c>
    </row>
    <row r="51" spans="7:40" x14ac:dyDescent="0.3">
      <c r="G51">
        <v>6</v>
      </c>
      <c r="H51">
        <v>245.2</v>
      </c>
      <c r="I51">
        <v>590.4</v>
      </c>
      <c r="J51">
        <v>623.5</v>
      </c>
      <c r="K51">
        <v>265.8</v>
      </c>
      <c r="L51">
        <v>747.6</v>
      </c>
      <c r="N51">
        <v>6</v>
      </c>
      <c r="O51">
        <v>354.9</v>
      </c>
      <c r="P51">
        <v>320.2</v>
      </c>
      <c r="Q51">
        <v>661.6</v>
      </c>
      <c r="R51">
        <v>242.1</v>
      </c>
      <c r="S51">
        <v>588</v>
      </c>
      <c r="V51">
        <f t="shared" si="25"/>
        <v>0.60964912280701755</v>
      </c>
      <c r="W51">
        <f t="shared" si="26"/>
        <v>0.60964912280701755</v>
      </c>
      <c r="X51">
        <f t="shared" si="27"/>
        <v>0.60964912280701755</v>
      </c>
      <c r="Y51">
        <f t="shared" si="28"/>
        <v>0.60964912280701755</v>
      </c>
      <c r="Z51">
        <f t="shared" si="29"/>
        <v>0.60964912280701755</v>
      </c>
      <c r="AC51">
        <f t="shared" si="30"/>
        <v>0.70345675036772759</v>
      </c>
      <c r="AD51">
        <f t="shared" si="21"/>
        <v>0.70345675036772759</v>
      </c>
      <c r="AE51">
        <f t="shared" si="22"/>
        <v>0.70345675036772759</v>
      </c>
      <c r="AF51">
        <f t="shared" si="23"/>
        <v>0.70345675036772759</v>
      </c>
      <c r="AG51">
        <f t="shared" si="24"/>
        <v>0.70345675036772759</v>
      </c>
      <c r="AJ51">
        <f t="shared" si="31"/>
        <v>323.22571515878622</v>
      </c>
      <c r="AK51">
        <f t="shared" si="32"/>
        <v>448.93325954039784</v>
      </c>
      <c r="AL51">
        <f t="shared" si="33"/>
        <v>625.51715040264662</v>
      </c>
      <c r="AM51">
        <f t="shared" si="34"/>
        <v>258.93931793940317</v>
      </c>
      <c r="AN51">
        <f t="shared" si="35"/>
        <v>697.43552798766245</v>
      </c>
    </row>
    <row r="52" spans="7:40" x14ac:dyDescent="0.3">
      <c r="G52">
        <v>7</v>
      </c>
      <c r="H52">
        <v>328.9</v>
      </c>
      <c r="I52">
        <v>487.1</v>
      </c>
      <c r="J52">
        <v>581</v>
      </c>
      <c r="K52">
        <v>296.60000000000002</v>
      </c>
      <c r="L52">
        <v>708.7</v>
      </c>
      <c r="N52">
        <v>7</v>
      </c>
      <c r="O52">
        <v>367.3</v>
      </c>
      <c r="P52">
        <v>570.9</v>
      </c>
      <c r="Q52">
        <v>671.8</v>
      </c>
      <c r="R52">
        <v>268.7</v>
      </c>
      <c r="S52">
        <v>872.5</v>
      </c>
      <c r="V52">
        <f t="shared" si="25"/>
        <v>0.7192982456140351</v>
      </c>
      <c r="W52">
        <f t="shared" si="26"/>
        <v>0.7192982456140351</v>
      </c>
      <c r="X52">
        <f t="shared" si="27"/>
        <v>0.7192982456140351</v>
      </c>
      <c r="Y52">
        <f t="shared" si="28"/>
        <v>0.7192982456140351</v>
      </c>
      <c r="Z52">
        <f t="shared" si="29"/>
        <v>0.7192982456140351</v>
      </c>
      <c r="AC52">
        <f t="shared" si="30"/>
        <v>1.110242049550118</v>
      </c>
      <c r="AD52">
        <f t="shared" si="21"/>
        <v>1.110242049550118</v>
      </c>
      <c r="AE52">
        <f t="shared" si="22"/>
        <v>1.110242049550118</v>
      </c>
      <c r="AF52">
        <f t="shared" si="23"/>
        <v>1.110242049550118</v>
      </c>
      <c r="AG52">
        <f t="shared" si="24"/>
        <v>1.110242049550118</v>
      </c>
      <c r="AJ52">
        <f t="shared" si="31"/>
        <v>357.17420515357264</v>
      </c>
      <c r="AK52">
        <f t="shared" si="32"/>
        <v>501.0918330268504</v>
      </c>
      <c r="AL52">
        <f t="shared" si="33"/>
        <v>673.93654848045242</v>
      </c>
      <c r="AM52">
        <f t="shared" si="34"/>
        <v>279.36389988913442</v>
      </c>
      <c r="AN52">
        <f t="shared" si="35"/>
        <v>769.11174106331907</v>
      </c>
    </row>
    <row r="53" spans="7:40" x14ac:dyDescent="0.3">
      <c r="G53">
        <v>8</v>
      </c>
      <c r="H53">
        <v>188</v>
      </c>
      <c r="I53">
        <v>213.7</v>
      </c>
      <c r="J53">
        <v>399.9</v>
      </c>
      <c r="K53">
        <v>167.5</v>
      </c>
      <c r="L53">
        <v>378.8</v>
      </c>
      <c r="N53">
        <v>8</v>
      </c>
      <c r="O53">
        <v>382.8</v>
      </c>
      <c r="P53">
        <v>434.8</v>
      </c>
      <c r="Q53">
        <v>737.1</v>
      </c>
      <c r="R53">
        <v>308.2</v>
      </c>
      <c r="S53">
        <v>715.1</v>
      </c>
      <c r="V53">
        <f t="shared" si="25"/>
        <v>0.82894736842105265</v>
      </c>
      <c r="W53">
        <f t="shared" si="26"/>
        <v>0.82894736842105265</v>
      </c>
      <c r="X53">
        <f t="shared" si="27"/>
        <v>0.82894736842105265</v>
      </c>
      <c r="Y53">
        <f t="shared" si="28"/>
        <v>0.82894736842105265</v>
      </c>
      <c r="Z53">
        <f t="shared" si="29"/>
        <v>0.82894736842105265</v>
      </c>
      <c r="AC53">
        <f t="shared" si="30"/>
        <v>1.6734506310577866</v>
      </c>
      <c r="AD53">
        <f t="shared" si="21"/>
        <v>1.6734506310577866</v>
      </c>
      <c r="AE53">
        <f t="shared" si="22"/>
        <v>1.6734506310577866</v>
      </c>
      <c r="AF53">
        <f t="shared" si="23"/>
        <v>1.6734506310577866</v>
      </c>
      <c r="AG53">
        <f t="shared" si="24"/>
        <v>1.6734506310577866</v>
      </c>
      <c r="AJ53">
        <f t="shared" si="31"/>
        <v>404.1770858690777</v>
      </c>
      <c r="AK53">
        <f t="shared" si="32"/>
        <v>573.30721604539224</v>
      </c>
      <c r="AL53">
        <f t="shared" si="33"/>
        <v>740.97491138016221</v>
      </c>
      <c r="AM53">
        <f t="shared" si="34"/>
        <v>307.64245334452244</v>
      </c>
      <c r="AN53">
        <f t="shared" si="35"/>
        <v>868.34998387917335</v>
      </c>
    </row>
    <row r="54" spans="7:40" x14ac:dyDescent="0.3">
      <c r="G54">
        <v>9</v>
      </c>
      <c r="H54">
        <v>354.9</v>
      </c>
      <c r="I54">
        <v>320.2</v>
      </c>
      <c r="J54">
        <v>661.6</v>
      </c>
      <c r="K54">
        <v>242.1</v>
      </c>
      <c r="L54">
        <v>588</v>
      </c>
      <c r="N54">
        <v>9</v>
      </c>
      <c r="O54">
        <v>486.5</v>
      </c>
      <c r="P54">
        <v>648.79999999999995</v>
      </c>
      <c r="Q54">
        <v>846.5</v>
      </c>
      <c r="R54">
        <v>221.7</v>
      </c>
      <c r="S54">
        <v>1070</v>
      </c>
      <c r="V54">
        <f t="shared" si="25"/>
        <v>0.93859649122807032</v>
      </c>
      <c r="W54">
        <f t="shared" si="26"/>
        <v>0.93859649122807032</v>
      </c>
      <c r="X54">
        <f t="shared" si="27"/>
        <v>0.93859649122807032</v>
      </c>
      <c r="Y54">
        <f t="shared" si="28"/>
        <v>0.93859649122807032</v>
      </c>
      <c r="Z54">
        <f t="shared" si="29"/>
        <v>0.93859649122807032</v>
      </c>
      <c r="AC54">
        <f t="shared" si="30"/>
        <v>2.7587708079393876</v>
      </c>
      <c r="AD54">
        <f t="shared" si="21"/>
        <v>2.7587708079393876</v>
      </c>
      <c r="AE54">
        <f t="shared" si="22"/>
        <v>2.7587708079393876</v>
      </c>
      <c r="AF54">
        <f t="shared" si="23"/>
        <v>2.7587708079393876</v>
      </c>
      <c r="AG54">
        <f t="shared" si="24"/>
        <v>2.7587708079393876</v>
      </c>
      <c r="AJ54">
        <f t="shared" si="31"/>
        <v>494.75307580789968</v>
      </c>
      <c r="AK54">
        <f t="shared" si="32"/>
        <v>712.46846969931812</v>
      </c>
      <c r="AL54">
        <f t="shared" si="33"/>
        <v>870.15988879190172</v>
      </c>
      <c r="AM54">
        <f t="shared" si="34"/>
        <v>362.13609148476388</v>
      </c>
      <c r="AN54">
        <f t="shared" si="35"/>
        <v>1059.5851155563273</v>
      </c>
    </row>
    <row r="55" spans="7:40" x14ac:dyDescent="0.3">
      <c r="G55" t="s">
        <v>25</v>
      </c>
      <c r="H55">
        <f>AVERAGE(H46:H54)</f>
        <v>312.68888888888893</v>
      </c>
      <c r="I55">
        <f t="shared" ref="I55" si="36">AVERAGE(I46:I54)</f>
        <v>432.74444444444441</v>
      </c>
      <c r="J55">
        <f t="shared" ref="J55" si="37">AVERAGE(J46:J54)</f>
        <v>610.48888888888882</v>
      </c>
      <c r="K55">
        <f t="shared" ref="K55" si="38">AVERAGE(K46:K54)</f>
        <v>252.60000000000002</v>
      </c>
      <c r="L55">
        <f t="shared" ref="L55" si="39">AVERAGE(L46:L54)</f>
        <v>675.18888888888898</v>
      </c>
    </row>
    <row r="56" spans="7:40" x14ac:dyDescent="0.3">
      <c r="G56" t="s">
        <v>35</v>
      </c>
      <c r="H56">
        <f>_xlfn.STDEV.S(H46:H54)</f>
        <v>107.03589870277671</v>
      </c>
      <c r="I56">
        <f t="shared" ref="I56:L56" si="40">_xlfn.STDEV.S(I46:I54)</f>
        <v>164.45031248914606</v>
      </c>
      <c r="J56">
        <f t="shared" si="40"/>
        <v>152.66109887954812</v>
      </c>
      <c r="K56">
        <f t="shared" si="40"/>
        <v>64.396486705409529</v>
      </c>
      <c r="L56">
        <f t="shared" si="40"/>
        <v>225.98730851778154</v>
      </c>
    </row>
    <row r="57" spans="7:40" x14ac:dyDescent="0.3">
      <c r="G57" t="s">
        <v>14</v>
      </c>
      <c r="H57">
        <f>SQRT((6*H56^2)/PI()^2)</f>
        <v>83.45554783572679</v>
      </c>
      <c r="I57">
        <f t="shared" ref="I57" si="41">SQRT((6*I56^2)/PI()^2)</f>
        <v>128.22138260966565</v>
      </c>
      <c r="J57">
        <f t="shared" ref="J57" si="42">SQRT((6*J56^2)/PI()^2)</f>
        <v>119.0293704692016</v>
      </c>
      <c r="K57">
        <f t="shared" ref="K57" si="43">SQRT((6*K56^2)/PI()^2)</f>
        <v>50.209734694894763</v>
      </c>
      <c r="L57">
        <f t="shared" ref="L57" si="44">SQRT((6*L56^2)/PI()^2)</f>
        <v>176.20158157072217</v>
      </c>
    </row>
    <row r="58" spans="7:40" x14ac:dyDescent="0.3">
      <c r="G58" t="s">
        <v>24</v>
      </c>
      <c r="H58">
        <f>H55-0.5772*H57</f>
        <v>264.51834667810743</v>
      </c>
      <c r="I58">
        <f t="shared" ref="I58" si="45">I55-0.5772*I57</f>
        <v>358.73506240214539</v>
      </c>
      <c r="J58">
        <f t="shared" ref="J58" si="46">J55-0.5772*J57</f>
        <v>541.78513625406572</v>
      </c>
      <c r="K58">
        <f t="shared" ref="K58" si="47">K55-0.5772*K57</f>
        <v>223.61894113410676</v>
      </c>
      <c r="L58">
        <f t="shared" ref="L58" si="48">L55-0.5772*L57</f>
        <v>573.4853360062682</v>
      </c>
    </row>
    <row r="59" spans="7:40" x14ac:dyDescent="0.3">
      <c r="G59" t="s">
        <v>27</v>
      </c>
      <c r="H59">
        <f>_xlfn.T.INV(0.0975,8)</f>
        <v>-1.4142683680390189</v>
      </c>
      <c r="I59">
        <f t="shared" ref="I59:L59" si="49">_xlfn.T.INV(0.0975,8)</f>
        <v>-1.4142683680390189</v>
      </c>
      <c r="J59">
        <f t="shared" si="49"/>
        <v>-1.4142683680390189</v>
      </c>
      <c r="K59">
        <f t="shared" si="49"/>
        <v>-1.4142683680390189</v>
      </c>
      <c r="L59">
        <f t="shared" si="49"/>
        <v>-1.4142683680390189</v>
      </c>
    </row>
    <row r="62" spans="7:40" x14ac:dyDescent="0.3">
      <c r="G62" t="s">
        <v>6</v>
      </c>
      <c r="H62" t="s">
        <v>41</v>
      </c>
      <c r="I62" t="s">
        <v>42</v>
      </c>
      <c r="J62" t="s">
        <v>43</v>
      </c>
      <c r="K62" t="s">
        <v>44</v>
      </c>
      <c r="L62" t="s">
        <v>45</v>
      </c>
      <c r="N62" t="s">
        <v>6</v>
      </c>
      <c r="O62" t="s">
        <v>41</v>
      </c>
      <c r="P62" t="s">
        <v>42</v>
      </c>
      <c r="Q62" t="s">
        <v>43</v>
      </c>
      <c r="R62" t="s">
        <v>44</v>
      </c>
      <c r="S62" t="s">
        <v>45</v>
      </c>
      <c r="U62" t="s">
        <v>12</v>
      </c>
      <c r="V62" t="s">
        <v>41</v>
      </c>
      <c r="W62" t="s">
        <v>42</v>
      </c>
      <c r="X62" t="s">
        <v>43</v>
      </c>
      <c r="Y62" t="s">
        <v>44</v>
      </c>
      <c r="Z62" t="s">
        <v>45</v>
      </c>
      <c r="AB62" t="s">
        <v>13</v>
      </c>
      <c r="AC62" t="s">
        <v>41</v>
      </c>
      <c r="AD62" t="s">
        <v>42</v>
      </c>
      <c r="AE62" t="s">
        <v>43</v>
      </c>
      <c r="AF62" t="s">
        <v>44</v>
      </c>
      <c r="AG62" t="s">
        <v>45</v>
      </c>
      <c r="AI62" t="s">
        <v>22</v>
      </c>
      <c r="AJ62" t="s">
        <v>41</v>
      </c>
      <c r="AK62" t="s">
        <v>42</v>
      </c>
      <c r="AL62" t="s">
        <v>43</v>
      </c>
      <c r="AM62" t="s">
        <v>44</v>
      </c>
      <c r="AN62" t="s">
        <v>45</v>
      </c>
    </row>
    <row r="63" spans="7:40" x14ac:dyDescent="0.3">
      <c r="G63">
        <v>1</v>
      </c>
      <c r="H63">
        <v>308.3</v>
      </c>
      <c r="I63">
        <v>556.9</v>
      </c>
      <c r="J63">
        <v>365.1</v>
      </c>
      <c r="K63">
        <v>727.2</v>
      </c>
      <c r="L63">
        <v>356.1</v>
      </c>
      <c r="N63">
        <v>1</v>
      </c>
      <c r="O63">
        <v>154</v>
      </c>
      <c r="P63">
        <v>206.3</v>
      </c>
      <c r="Q63">
        <v>241</v>
      </c>
      <c r="R63">
        <v>450</v>
      </c>
      <c r="S63">
        <v>240.4</v>
      </c>
      <c r="V63">
        <f>(N63-0.44)/(9+1-2*0.44)</f>
        <v>6.1403508771929835E-2</v>
      </c>
      <c r="W63">
        <f>(N63-0.44)/(9+1-2*0.44)</f>
        <v>6.1403508771929835E-2</v>
      </c>
      <c r="X63">
        <f>(N63-0.44)/(9+1-2*0.44)</f>
        <v>6.1403508771929835E-2</v>
      </c>
      <c r="Y63">
        <f>(N63-0.44)/(9+1-2*0.44)</f>
        <v>6.1403508771929835E-2</v>
      </c>
      <c r="Z63">
        <f>(N63-0.44)/(9+1-2*0.44)</f>
        <v>6.1403508771929835E-2</v>
      </c>
      <c r="AC63">
        <f>-LN(-LN(V63))</f>
        <v>-1.0261449235912585</v>
      </c>
      <c r="AD63">
        <f t="shared" ref="AD63:AD71" si="50">-LN(-LN(W63))</f>
        <v>-1.0261449235912585</v>
      </c>
      <c r="AE63">
        <f t="shared" ref="AE63:AE71" si="51">-LN(-LN(X63))</f>
        <v>-1.0261449235912585</v>
      </c>
      <c r="AF63">
        <f t="shared" ref="AF63:AF71" si="52">-LN(-LN(Y63))</f>
        <v>-1.0261449235912585</v>
      </c>
      <c r="AG63">
        <f t="shared" ref="AG63:AG71" si="53">-LN(-LN(Z63))</f>
        <v>-1.0261449235912585</v>
      </c>
      <c r="AJ63">
        <f>$H$74*AC63+$H$75</f>
        <v>182.66938389444073</v>
      </c>
      <c r="AK63">
        <f>$I$74*AD63+$I$75</f>
        <v>216.1892746420904</v>
      </c>
      <c r="AL63">
        <f>$J$74*AE63+$J$75</f>
        <v>234.8706622836529</v>
      </c>
      <c r="AM63">
        <f>$K$74*AF63+$K$75</f>
        <v>458.77247188184805</v>
      </c>
      <c r="AN63">
        <f>$L$74*AG63+$L$75</f>
        <v>208.9322247800265</v>
      </c>
    </row>
    <row r="64" spans="7:40" x14ac:dyDescent="0.3">
      <c r="G64">
        <v>2</v>
      </c>
      <c r="H64">
        <v>157</v>
      </c>
      <c r="I64">
        <v>151</v>
      </c>
      <c r="J64">
        <v>184.7</v>
      </c>
      <c r="K64">
        <v>397.6</v>
      </c>
      <c r="L64">
        <v>178.2</v>
      </c>
      <c r="N64">
        <v>2</v>
      </c>
      <c r="O64">
        <v>157</v>
      </c>
      <c r="P64">
        <v>151</v>
      </c>
      <c r="Q64">
        <v>184.7</v>
      </c>
      <c r="R64">
        <v>397.6</v>
      </c>
      <c r="S64">
        <v>178.2</v>
      </c>
      <c r="V64">
        <f t="shared" ref="V64:V71" si="54">(N64-0.44)/(9+1-2*0.44)</f>
        <v>0.1710526315789474</v>
      </c>
      <c r="W64">
        <f t="shared" ref="W64:W71" si="55">(N64-0.44)/(9+1-2*0.44)</f>
        <v>0.1710526315789474</v>
      </c>
      <c r="X64">
        <f t="shared" ref="X64:X71" si="56">(N64-0.44)/(9+1-2*0.44)</f>
        <v>0.1710526315789474</v>
      </c>
      <c r="Y64">
        <f t="shared" ref="Y64:Y71" si="57">(N64-0.44)/(9+1-2*0.44)</f>
        <v>0.1710526315789474</v>
      </c>
      <c r="Z64">
        <f t="shared" ref="Z64:Z71" si="58">(N64-0.44)/(9+1-2*0.44)</f>
        <v>0.1710526315789474</v>
      </c>
      <c r="AC64">
        <f t="shared" ref="AC64:AC71" si="59">-LN(-LN(V64))</f>
        <v>-0.5685947746688027</v>
      </c>
      <c r="AD64">
        <f t="shared" si="50"/>
        <v>-0.5685947746688027</v>
      </c>
      <c r="AE64">
        <f t="shared" si="51"/>
        <v>-0.5685947746688027</v>
      </c>
      <c r="AF64">
        <f t="shared" si="52"/>
        <v>-0.5685947746688027</v>
      </c>
      <c r="AG64">
        <f t="shared" si="53"/>
        <v>-0.5685947746688027</v>
      </c>
      <c r="AJ64">
        <f t="shared" ref="AJ64:AJ71" si="60">$H$74*AC64+$H$75</f>
        <v>206.03425417062559</v>
      </c>
      <c r="AK64">
        <f t="shared" ref="AK64:AK71" si="61">$I$74*AD64+$I$75</f>
        <v>274.57632697916125</v>
      </c>
      <c r="AL64">
        <f t="shared" ref="AL64:AL71" si="62">$J$74*AE64+$J$75</f>
        <v>273.1442824221013</v>
      </c>
      <c r="AM64">
        <f t="shared" ref="AM64:AM71" si="63">$K$74*AF64+$K$75</f>
        <v>518.39776154246249</v>
      </c>
      <c r="AN64">
        <f t="shared" ref="AN64:AN71" si="64">$L$74*AG64+$L$75</f>
        <v>246.731681089798</v>
      </c>
    </row>
    <row r="65" spans="7:40" x14ac:dyDescent="0.3">
      <c r="G65">
        <v>3</v>
      </c>
      <c r="H65">
        <v>279.5</v>
      </c>
      <c r="I65">
        <v>647.20000000000005</v>
      </c>
      <c r="J65">
        <v>499.6</v>
      </c>
      <c r="K65">
        <v>947</v>
      </c>
      <c r="L65">
        <v>544</v>
      </c>
      <c r="N65">
        <v>3</v>
      </c>
      <c r="O65">
        <v>264.10000000000002</v>
      </c>
      <c r="P65">
        <v>488</v>
      </c>
      <c r="Q65">
        <v>337.2</v>
      </c>
      <c r="R65">
        <v>723</v>
      </c>
      <c r="S65">
        <v>282.3</v>
      </c>
      <c r="V65">
        <f t="shared" si="54"/>
        <v>0.28070175438596495</v>
      </c>
      <c r="W65">
        <f t="shared" si="55"/>
        <v>0.28070175438596495</v>
      </c>
      <c r="X65">
        <f t="shared" si="56"/>
        <v>0.28070175438596495</v>
      </c>
      <c r="Y65">
        <f t="shared" si="57"/>
        <v>0.28070175438596495</v>
      </c>
      <c r="Z65">
        <f t="shared" si="58"/>
        <v>0.28070175438596495</v>
      </c>
      <c r="AC65">
        <f t="shared" si="59"/>
        <v>-0.23938104329219342</v>
      </c>
      <c r="AD65">
        <f t="shared" si="50"/>
        <v>-0.23938104329219342</v>
      </c>
      <c r="AE65">
        <f t="shared" si="51"/>
        <v>-0.23938104329219342</v>
      </c>
      <c r="AF65">
        <f t="shared" si="52"/>
        <v>-0.23938104329219342</v>
      </c>
      <c r="AG65">
        <f t="shared" si="53"/>
        <v>-0.23938104329219342</v>
      </c>
      <c r="AJ65">
        <f t="shared" si="60"/>
        <v>222.84560511186828</v>
      </c>
      <c r="AK65">
        <f t="shared" si="61"/>
        <v>316.58662772813142</v>
      </c>
      <c r="AL65">
        <f t="shared" si="62"/>
        <v>300.68268740075422</v>
      </c>
      <c r="AM65">
        <f t="shared" si="63"/>
        <v>561.29899136352151</v>
      </c>
      <c r="AN65">
        <f t="shared" si="64"/>
        <v>273.92891856213458</v>
      </c>
    </row>
    <row r="66" spans="7:40" x14ac:dyDescent="0.3">
      <c r="G66">
        <v>4</v>
      </c>
      <c r="H66">
        <v>293.5</v>
      </c>
      <c r="I66">
        <v>508.2</v>
      </c>
      <c r="J66">
        <v>493.4</v>
      </c>
      <c r="K66">
        <v>788.6</v>
      </c>
      <c r="L66">
        <v>431.2</v>
      </c>
      <c r="N66">
        <v>4</v>
      </c>
      <c r="O66">
        <v>279</v>
      </c>
      <c r="P66">
        <v>492.7</v>
      </c>
      <c r="Q66">
        <v>403.6</v>
      </c>
      <c r="R66">
        <v>651.9</v>
      </c>
      <c r="S66">
        <v>344.9</v>
      </c>
      <c r="V66">
        <f t="shared" si="54"/>
        <v>0.3903508771929825</v>
      </c>
      <c r="W66">
        <f t="shared" si="55"/>
        <v>0.3903508771929825</v>
      </c>
      <c r="X66">
        <f t="shared" si="56"/>
        <v>0.3903508771929825</v>
      </c>
      <c r="Y66">
        <f t="shared" si="57"/>
        <v>0.3903508771929825</v>
      </c>
      <c r="Z66">
        <f t="shared" si="58"/>
        <v>0.3903508771929825</v>
      </c>
      <c r="AC66">
        <f t="shared" si="59"/>
        <v>6.1121157146006216E-2</v>
      </c>
      <c r="AD66">
        <f t="shared" si="50"/>
        <v>6.1121157146006216E-2</v>
      </c>
      <c r="AE66">
        <f t="shared" si="51"/>
        <v>6.1121157146006216E-2</v>
      </c>
      <c r="AF66">
        <f t="shared" si="52"/>
        <v>6.1121157146006216E-2</v>
      </c>
      <c r="AG66">
        <f t="shared" si="53"/>
        <v>6.1121157146006216E-2</v>
      </c>
      <c r="AJ66">
        <f t="shared" si="60"/>
        <v>238.19079721262872</v>
      </c>
      <c r="AK66">
        <f t="shared" si="61"/>
        <v>354.93310788054782</v>
      </c>
      <c r="AL66">
        <f t="shared" si="62"/>
        <v>325.81940104280079</v>
      </c>
      <c r="AM66">
        <f t="shared" si="63"/>
        <v>600.45870049480686</v>
      </c>
      <c r="AN66">
        <f t="shared" si="64"/>
        <v>298.75421874661549</v>
      </c>
    </row>
    <row r="67" spans="7:40" x14ac:dyDescent="0.3">
      <c r="G67">
        <v>5</v>
      </c>
      <c r="H67">
        <v>339.6</v>
      </c>
      <c r="I67">
        <v>406.4</v>
      </c>
      <c r="J67">
        <v>346.8</v>
      </c>
      <c r="K67">
        <v>704.4</v>
      </c>
      <c r="L67">
        <v>353.4</v>
      </c>
      <c r="N67">
        <v>5</v>
      </c>
      <c r="O67">
        <v>279.5</v>
      </c>
      <c r="P67">
        <v>647.20000000000005</v>
      </c>
      <c r="Q67">
        <v>499.6</v>
      </c>
      <c r="R67">
        <v>947</v>
      </c>
      <c r="S67">
        <v>544</v>
      </c>
      <c r="V67">
        <f t="shared" si="54"/>
        <v>0.5</v>
      </c>
      <c r="W67">
        <f t="shared" si="55"/>
        <v>0.5</v>
      </c>
      <c r="X67">
        <f t="shared" si="56"/>
        <v>0.5</v>
      </c>
      <c r="Y67">
        <f t="shared" si="57"/>
        <v>0.5</v>
      </c>
      <c r="Z67">
        <f t="shared" si="58"/>
        <v>0.5</v>
      </c>
      <c r="AC67">
        <f t="shared" si="59"/>
        <v>0.36651292058166435</v>
      </c>
      <c r="AD67">
        <f t="shared" si="50"/>
        <v>0.36651292058166435</v>
      </c>
      <c r="AE67">
        <f t="shared" si="51"/>
        <v>0.36651292058166435</v>
      </c>
      <c r="AF67">
        <f t="shared" si="52"/>
        <v>0.36651292058166435</v>
      </c>
      <c r="AG67">
        <f t="shared" si="53"/>
        <v>0.36651292058166435</v>
      </c>
      <c r="AJ67">
        <f t="shared" si="60"/>
        <v>253.78567561643575</v>
      </c>
      <c r="AK67">
        <f t="shared" si="61"/>
        <v>393.9035353124271</v>
      </c>
      <c r="AL67">
        <f t="shared" si="62"/>
        <v>351.36512182264079</v>
      </c>
      <c r="AM67">
        <f t="shared" si="63"/>
        <v>640.2555892024161</v>
      </c>
      <c r="AN67">
        <f t="shared" si="64"/>
        <v>323.9834589654983</v>
      </c>
    </row>
    <row r="68" spans="7:40" x14ac:dyDescent="0.3">
      <c r="G68">
        <v>6</v>
      </c>
      <c r="H68">
        <v>264.10000000000002</v>
      </c>
      <c r="I68">
        <v>488</v>
      </c>
      <c r="J68">
        <v>337.2</v>
      </c>
      <c r="K68">
        <v>723</v>
      </c>
      <c r="L68">
        <v>282.3</v>
      </c>
      <c r="N68">
        <v>6</v>
      </c>
      <c r="O68">
        <v>293.5</v>
      </c>
      <c r="P68">
        <v>508.2</v>
      </c>
      <c r="Q68">
        <v>493.4</v>
      </c>
      <c r="R68">
        <v>788.6</v>
      </c>
      <c r="S68">
        <v>431.2</v>
      </c>
      <c r="V68">
        <f t="shared" si="54"/>
        <v>0.60964912280701755</v>
      </c>
      <c r="W68">
        <f t="shared" si="55"/>
        <v>0.60964912280701755</v>
      </c>
      <c r="X68">
        <f t="shared" si="56"/>
        <v>0.60964912280701755</v>
      </c>
      <c r="Y68">
        <f t="shared" si="57"/>
        <v>0.60964912280701755</v>
      </c>
      <c r="Z68">
        <f t="shared" si="58"/>
        <v>0.60964912280701755</v>
      </c>
      <c r="AC68">
        <f t="shared" si="59"/>
        <v>0.70345675036772759</v>
      </c>
      <c r="AD68">
        <f t="shared" si="50"/>
        <v>0.70345675036772759</v>
      </c>
      <c r="AE68">
        <f t="shared" si="51"/>
        <v>0.70345675036772759</v>
      </c>
      <c r="AF68">
        <f t="shared" si="52"/>
        <v>0.70345675036772759</v>
      </c>
      <c r="AG68">
        <f t="shared" si="53"/>
        <v>0.70345675036772759</v>
      </c>
      <c r="AJ68">
        <f t="shared" si="60"/>
        <v>270.99176524803704</v>
      </c>
      <c r="AK68">
        <f t="shared" si="61"/>
        <v>436.9002583398435</v>
      </c>
      <c r="AL68">
        <f t="shared" si="62"/>
        <v>379.55014193376172</v>
      </c>
      <c r="AM68">
        <f t="shared" si="63"/>
        <v>684.16416074952235</v>
      </c>
      <c r="AN68">
        <f t="shared" si="64"/>
        <v>351.81930079144837</v>
      </c>
    </row>
    <row r="69" spans="7:40" x14ac:dyDescent="0.3">
      <c r="G69">
        <v>7</v>
      </c>
      <c r="H69">
        <v>279</v>
      </c>
      <c r="I69">
        <v>492.7</v>
      </c>
      <c r="J69">
        <v>403.6</v>
      </c>
      <c r="K69">
        <v>651.9</v>
      </c>
      <c r="L69">
        <v>344.9</v>
      </c>
      <c r="N69">
        <v>7</v>
      </c>
      <c r="O69">
        <v>305.89999999999998</v>
      </c>
      <c r="P69">
        <v>330.4</v>
      </c>
      <c r="Q69">
        <v>449.5</v>
      </c>
      <c r="R69">
        <v>619.70000000000005</v>
      </c>
      <c r="S69">
        <v>342</v>
      </c>
      <c r="V69">
        <f t="shared" si="54"/>
        <v>0.7192982456140351</v>
      </c>
      <c r="W69">
        <f t="shared" si="55"/>
        <v>0.7192982456140351</v>
      </c>
      <c r="X69">
        <f t="shared" si="56"/>
        <v>0.7192982456140351</v>
      </c>
      <c r="Y69">
        <f t="shared" si="57"/>
        <v>0.7192982456140351</v>
      </c>
      <c r="Z69">
        <f t="shared" si="58"/>
        <v>0.7192982456140351</v>
      </c>
      <c r="AC69">
        <f t="shared" si="59"/>
        <v>1.110242049550118</v>
      </c>
      <c r="AD69">
        <f t="shared" si="50"/>
        <v>1.110242049550118</v>
      </c>
      <c r="AE69">
        <f t="shared" si="51"/>
        <v>1.110242049550118</v>
      </c>
      <c r="AF69">
        <f t="shared" si="52"/>
        <v>1.110242049550118</v>
      </c>
      <c r="AG69">
        <f t="shared" si="53"/>
        <v>1.110242049550118</v>
      </c>
      <c r="AJ69">
        <f t="shared" si="60"/>
        <v>291.76432049261285</v>
      </c>
      <c r="AK69">
        <f t="shared" si="61"/>
        <v>488.80931051532099</v>
      </c>
      <c r="AL69">
        <f t="shared" si="62"/>
        <v>413.57733229852875</v>
      </c>
      <c r="AM69">
        <f t="shared" si="63"/>
        <v>737.17406873567484</v>
      </c>
      <c r="AN69">
        <f t="shared" si="64"/>
        <v>385.42493545272794</v>
      </c>
    </row>
    <row r="70" spans="7:40" x14ac:dyDescent="0.3">
      <c r="G70">
        <v>8</v>
      </c>
      <c r="H70">
        <v>154</v>
      </c>
      <c r="I70">
        <v>206.3</v>
      </c>
      <c r="J70">
        <v>241</v>
      </c>
      <c r="K70">
        <v>450</v>
      </c>
      <c r="L70">
        <v>240.4</v>
      </c>
      <c r="N70">
        <v>8</v>
      </c>
      <c r="O70">
        <v>308.3</v>
      </c>
      <c r="P70">
        <v>556.9</v>
      </c>
      <c r="Q70">
        <v>365.1</v>
      </c>
      <c r="R70">
        <v>727.2</v>
      </c>
      <c r="S70">
        <v>356.1</v>
      </c>
      <c r="V70">
        <f t="shared" si="54"/>
        <v>0.82894736842105265</v>
      </c>
      <c r="W70">
        <f t="shared" si="55"/>
        <v>0.82894736842105265</v>
      </c>
      <c r="X70">
        <f t="shared" si="56"/>
        <v>0.82894736842105265</v>
      </c>
      <c r="Y70">
        <f t="shared" si="57"/>
        <v>0.82894736842105265</v>
      </c>
      <c r="Z70">
        <f t="shared" si="58"/>
        <v>0.82894736842105265</v>
      </c>
      <c r="AC70">
        <f t="shared" si="59"/>
        <v>1.6734506310577866</v>
      </c>
      <c r="AD70">
        <f t="shared" si="50"/>
        <v>1.6734506310577866</v>
      </c>
      <c r="AE70">
        <f t="shared" si="51"/>
        <v>1.6734506310577866</v>
      </c>
      <c r="AF70">
        <f t="shared" si="52"/>
        <v>1.6734506310577866</v>
      </c>
      <c r="AG70">
        <f t="shared" si="53"/>
        <v>1.6734506310577866</v>
      </c>
      <c r="AJ70">
        <f t="shared" si="60"/>
        <v>320.52465523701471</v>
      </c>
      <c r="AK70">
        <f t="shared" si="61"/>
        <v>560.6792224858857</v>
      </c>
      <c r="AL70">
        <f t="shared" si="62"/>
        <v>460.68917644961022</v>
      </c>
      <c r="AM70">
        <f t="shared" si="63"/>
        <v>810.5681543694003</v>
      </c>
      <c r="AN70">
        <f t="shared" si="64"/>
        <v>431.95312087704406</v>
      </c>
    </row>
    <row r="71" spans="7:40" x14ac:dyDescent="0.3">
      <c r="G71">
        <v>9</v>
      </c>
      <c r="H71">
        <v>305.89999999999998</v>
      </c>
      <c r="I71">
        <v>330.4</v>
      </c>
      <c r="J71">
        <v>449.5</v>
      </c>
      <c r="K71">
        <v>619.70000000000005</v>
      </c>
      <c r="L71">
        <v>342</v>
      </c>
      <c r="N71">
        <v>9</v>
      </c>
      <c r="O71">
        <v>339.6</v>
      </c>
      <c r="P71">
        <v>406.4</v>
      </c>
      <c r="Q71">
        <v>346.8</v>
      </c>
      <c r="R71">
        <v>704.4</v>
      </c>
      <c r="S71">
        <v>353.4</v>
      </c>
      <c r="V71">
        <f t="shared" si="54"/>
        <v>0.93859649122807032</v>
      </c>
      <c r="W71">
        <f t="shared" si="55"/>
        <v>0.93859649122807032</v>
      </c>
      <c r="X71">
        <f t="shared" si="56"/>
        <v>0.93859649122807032</v>
      </c>
      <c r="Y71">
        <f t="shared" si="57"/>
        <v>0.93859649122807032</v>
      </c>
      <c r="Z71">
        <f t="shared" si="58"/>
        <v>0.93859649122807032</v>
      </c>
      <c r="AC71">
        <f t="shared" si="59"/>
        <v>2.7587708079393876</v>
      </c>
      <c r="AD71">
        <f t="shared" si="50"/>
        <v>2.7587708079393876</v>
      </c>
      <c r="AE71">
        <f t="shared" si="51"/>
        <v>2.7587708079393876</v>
      </c>
      <c r="AF71">
        <f t="shared" si="52"/>
        <v>2.7587708079393876</v>
      </c>
      <c r="AG71">
        <f t="shared" si="53"/>
        <v>2.7587708079393876</v>
      </c>
      <c r="AJ71">
        <f t="shared" si="60"/>
        <v>375.94670066894025</v>
      </c>
      <c r="AK71">
        <f t="shared" si="61"/>
        <v>699.17474285518301</v>
      </c>
      <c r="AL71">
        <f t="shared" si="62"/>
        <v>551.47514226425574</v>
      </c>
      <c r="AM71">
        <f t="shared" si="63"/>
        <v>952.00080404392168</v>
      </c>
      <c r="AN71">
        <f t="shared" si="64"/>
        <v>521.61435845889935</v>
      </c>
    </row>
    <row r="72" spans="7:40" x14ac:dyDescent="0.3">
      <c r="G72" t="s">
        <v>25</v>
      </c>
      <c r="H72">
        <f>AVERAGE(H63:H71)</f>
        <v>264.54444444444448</v>
      </c>
      <c r="I72">
        <f t="shared" ref="I72" si="65">AVERAGE(I63:I71)</f>
        <v>420.78888888888889</v>
      </c>
      <c r="J72">
        <f t="shared" ref="J72" si="66">AVERAGE(J63:J71)</f>
        <v>368.98888888888888</v>
      </c>
      <c r="K72">
        <f t="shared" ref="K72" si="67">AVERAGE(K63:K71)</f>
        <v>667.71111111111111</v>
      </c>
      <c r="L72">
        <f t="shared" ref="L72" si="68">AVERAGE(L63:L71)</f>
        <v>341.38888888888891</v>
      </c>
    </row>
    <row r="73" spans="7:40" x14ac:dyDescent="0.3">
      <c r="G73" t="s">
        <v>35</v>
      </c>
      <c r="H73">
        <f>_xlfn.STDEV.S(H63:H71)</f>
        <v>65.493608678845717</v>
      </c>
      <c r="I73">
        <f t="shared" ref="I73:L73" si="69">_xlfn.STDEV.S(I63:I71)</f>
        <v>163.66359891897497</v>
      </c>
      <c r="J73">
        <f t="shared" si="69"/>
        <v>107.28403241447954</v>
      </c>
      <c r="K73">
        <f t="shared" si="69"/>
        <v>167.13447762538777</v>
      </c>
      <c r="L73">
        <f t="shared" si="69"/>
        <v>105.95491310510846</v>
      </c>
    </row>
    <row r="74" spans="7:40" x14ac:dyDescent="0.3">
      <c r="G74" t="s">
        <v>14</v>
      </c>
      <c r="H74">
        <f>SQRT((6*H73^2)/PI()^2)</f>
        <v>51.065157188146131</v>
      </c>
      <c r="I74">
        <f t="shared" ref="I74" si="70">SQRT((6*I73^2)/PI()^2)</f>
        <v>127.60798455551611</v>
      </c>
      <c r="J74">
        <f t="shared" ref="J74" si="71">SQRT((6*J73^2)/PI()^2)</f>
        <v>83.64901689701972</v>
      </c>
      <c r="K74">
        <f t="shared" ref="K74" si="72">SQRT((6*K73^2)/PI()^2)</f>
        <v>130.31421758037627</v>
      </c>
      <c r="L74">
        <f t="shared" ref="L74" si="73">SQRT((6*L73^2)/PI()^2)</f>
        <v>82.612706823045173</v>
      </c>
    </row>
    <row r="75" spans="7:40" x14ac:dyDescent="0.3">
      <c r="G75" t="s">
        <v>24</v>
      </c>
      <c r="H75">
        <f>H72-0.5772*H74</f>
        <v>235.06963571544654</v>
      </c>
      <c r="I75">
        <f t="shared" ref="I75" si="74">I72-0.5772*I74</f>
        <v>347.13356020344497</v>
      </c>
      <c r="J75">
        <f t="shared" ref="J75" si="75">J72-0.5772*J74</f>
        <v>320.7066763359291</v>
      </c>
      <c r="K75">
        <f t="shared" ref="K75" si="76">K72-0.5772*K74</f>
        <v>592.4937447237179</v>
      </c>
      <c r="L75">
        <f t="shared" ref="L75" si="77">L72-0.5772*L74</f>
        <v>293.70483451062722</v>
      </c>
    </row>
    <row r="76" spans="7:40" x14ac:dyDescent="0.3">
      <c r="G76" t="s">
        <v>27</v>
      </c>
      <c r="H76">
        <f>_xlfn.T.INV(0.0975,8)</f>
        <v>-1.4142683680390189</v>
      </c>
      <c r="I76">
        <f t="shared" ref="I76:L76" si="78">_xlfn.T.INV(0.0975,8)</f>
        <v>-1.4142683680390189</v>
      </c>
      <c r="J76">
        <f t="shared" si="78"/>
        <v>-1.4142683680390189</v>
      </c>
      <c r="K76">
        <f t="shared" si="78"/>
        <v>-1.4142683680390189</v>
      </c>
      <c r="L76">
        <f t="shared" si="78"/>
        <v>-1.4142683680390189</v>
      </c>
    </row>
  </sheetData>
  <sortState xmlns:xlrd2="http://schemas.microsoft.com/office/spreadsheetml/2017/richdata2" ref="O63:S71">
    <sortCondition ref="O63:O7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1D0C-96ED-4828-BAD6-B561B01E02D2}">
  <dimension ref="A1:H32"/>
  <sheetViews>
    <sheetView workbookViewId="0">
      <selection activeCell="E32" sqref="E32"/>
    </sheetView>
  </sheetViews>
  <sheetFormatPr defaultRowHeight="14.4" x14ac:dyDescent="0.3"/>
  <cols>
    <col min="3" max="3" width="9.5546875" bestFit="1" customWidth="1"/>
  </cols>
  <sheetData>
    <row r="1" spans="1:8" x14ac:dyDescent="0.3">
      <c r="A1" t="s">
        <v>19</v>
      </c>
      <c r="B1" t="s">
        <v>20</v>
      </c>
      <c r="C1" t="s">
        <v>12</v>
      </c>
      <c r="D1" t="s">
        <v>21</v>
      </c>
      <c r="E1" t="s">
        <v>22</v>
      </c>
      <c r="F1" t="s">
        <v>23</v>
      </c>
      <c r="G1" t="s">
        <v>18</v>
      </c>
      <c r="H1" t="s">
        <v>17</v>
      </c>
    </row>
    <row r="2" spans="1:8" x14ac:dyDescent="0.3">
      <c r="A2">
        <v>71.16</v>
      </c>
      <c r="B2">
        <v>1</v>
      </c>
      <c r="C2" s="3">
        <f>(B2-0.44)/(27+1-(2*0.44))</f>
        <v>2.0648967551622419E-2</v>
      </c>
      <c r="D2">
        <f>-LN(-LN(C2))</f>
        <v>-1.3558583385017555</v>
      </c>
      <c r="E2">
        <f>$D$29*D2+$D$30</f>
        <v>63.722372310565653</v>
      </c>
      <c r="F2">
        <f>(($D$29^2)/27)*(1.17+0.196*D2+1.099*D2^2)</f>
        <v>87.256605297341338</v>
      </c>
      <c r="G2">
        <f>E2-$F$29*SQRT(F2)</f>
        <v>44.521416089816931</v>
      </c>
      <c r="H2">
        <f>E2+$F$29*SQRT(F2)</f>
        <v>82.923328531314382</v>
      </c>
    </row>
    <row r="3" spans="1:8" x14ac:dyDescent="0.3">
      <c r="A3">
        <v>76.25</v>
      </c>
      <c r="B3">
        <v>2</v>
      </c>
      <c r="C3" s="3">
        <f t="shared" ref="C3:C30" si="0">(B3-0.44)/(27+1-2*0.44)</f>
        <v>5.7522123893805309E-2</v>
      </c>
      <c r="D3">
        <f t="shared" ref="D3:D28" si="1">-LN(-LN(C3))</f>
        <v>-1.0492769505521258</v>
      </c>
      <c r="E3">
        <f t="shared" ref="E3:E32" si="2">$D$29*D3+$D$30</f>
        <v>72.423860892782812</v>
      </c>
      <c r="F3">
        <f t="shared" ref="F3:F29" si="3">(($D$29^2)/27)*(1.17+0.196*D3+1.099*D3^2)</f>
        <v>64.87172505746652</v>
      </c>
      <c r="G3">
        <f t="shared" ref="G3:G30" si="4">E3-$F$29*SQRT(F3)</f>
        <v>55.868013125217914</v>
      </c>
      <c r="H3">
        <f t="shared" ref="H3:H30" si="5">E3+$F$29*SQRT(F3)</f>
        <v>88.979708660347711</v>
      </c>
    </row>
    <row r="4" spans="1:8" x14ac:dyDescent="0.3">
      <c r="A4">
        <v>76.39</v>
      </c>
      <c r="B4">
        <v>3</v>
      </c>
      <c r="C4" s="3">
        <f t="shared" si="0"/>
        <v>9.4395280235988199E-2</v>
      </c>
      <c r="D4">
        <f t="shared" si="1"/>
        <v>-0.85877356386498971</v>
      </c>
      <c r="E4">
        <f t="shared" si="2"/>
        <v>77.830787435904085</v>
      </c>
      <c r="F4">
        <f t="shared" si="3"/>
        <v>54.067226889831723</v>
      </c>
      <c r="G4">
        <f t="shared" si="4"/>
        <v>62.716393108330465</v>
      </c>
      <c r="H4">
        <f t="shared" si="5"/>
        <v>92.945181763477706</v>
      </c>
    </row>
    <row r="5" spans="1:8" x14ac:dyDescent="0.3">
      <c r="A5">
        <v>79.7</v>
      </c>
      <c r="B5">
        <v>4</v>
      </c>
      <c r="C5" s="3">
        <f t="shared" si="0"/>
        <v>0.13126843657817108</v>
      </c>
      <c r="D5">
        <f t="shared" si="1"/>
        <v>-0.70828744523306131</v>
      </c>
      <c r="E5">
        <f t="shared" si="2"/>
        <v>82.101931394822557</v>
      </c>
      <c r="F5">
        <f t="shared" si="3"/>
        <v>47.214874685080318</v>
      </c>
      <c r="G5">
        <f t="shared" si="4"/>
        <v>67.977755361157591</v>
      </c>
      <c r="H5">
        <f t="shared" si="5"/>
        <v>96.226107428487524</v>
      </c>
    </row>
    <row r="6" spans="1:8" x14ac:dyDescent="0.3">
      <c r="A6">
        <v>79.709999999999994</v>
      </c>
      <c r="B6">
        <v>5</v>
      </c>
      <c r="C6" s="3">
        <f t="shared" si="0"/>
        <v>0.16814159292035397</v>
      </c>
      <c r="D6">
        <f t="shared" si="1"/>
        <v>-0.57826864500097008</v>
      </c>
      <c r="E6">
        <f t="shared" si="2"/>
        <v>85.79216553871322</v>
      </c>
      <c r="F6">
        <f t="shared" si="3"/>
        <v>42.490345636442875</v>
      </c>
      <c r="G6">
        <f t="shared" si="4"/>
        <v>72.39327519366131</v>
      </c>
      <c r="H6">
        <f t="shared" si="5"/>
        <v>99.191055883765131</v>
      </c>
    </row>
    <row r="7" spans="1:8" x14ac:dyDescent="0.3">
      <c r="A7">
        <v>82.33</v>
      </c>
      <c r="B7">
        <v>6</v>
      </c>
      <c r="C7" s="3">
        <f t="shared" si="0"/>
        <v>0.20501474926253685</v>
      </c>
      <c r="D7">
        <f t="shared" si="1"/>
        <v>-0.46037830079718955</v>
      </c>
      <c r="E7">
        <f t="shared" si="2"/>
        <v>89.138166060478056</v>
      </c>
      <c r="F7">
        <f t="shared" si="3"/>
        <v>39.164828906879798</v>
      </c>
      <c r="G7">
        <f t="shared" si="4"/>
        <v>76.274290868329757</v>
      </c>
      <c r="H7">
        <f t="shared" si="5"/>
        <v>102.00204125262636</v>
      </c>
    </row>
    <row r="8" spans="1:8" x14ac:dyDescent="0.3">
      <c r="A8">
        <v>83.67</v>
      </c>
      <c r="B8">
        <v>7</v>
      </c>
      <c r="C8" s="3">
        <f t="shared" si="0"/>
        <v>0.24188790560471973</v>
      </c>
      <c r="D8">
        <f t="shared" si="1"/>
        <v>-0.35015030679298359</v>
      </c>
      <c r="E8">
        <f t="shared" si="2"/>
        <v>92.266691368824183</v>
      </c>
      <c r="F8">
        <f t="shared" si="3"/>
        <v>36.879938775454029</v>
      </c>
      <c r="G8">
        <f t="shared" si="4"/>
        <v>79.783696364943424</v>
      </c>
      <c r="H8">
        <f t="shared" si="5"/>
        <v>104.74968637270494</v>
      </c>
    </row>
    <row r="9" spans="1:8" x14ac:dyDescent="0.3">
      <c r="A9">
        <v>87.53</v>
      </c>
      <c r="B9">
        <v>8</v>
      </c>
      <c r="C9" s="3">
        <f t="shared" si="0"/>
        <v>0.27876106194690264</v>
      </c>
      <c r="D9">
        <f t="shared" si="1"/>
        <v>-0.24482697576733706</v>
      </c>
      <c r="E9">
        <f t="shared" si="2"/>
        <v>95.25601100264133</v>
      </c>
      <c r="F9">
        <f t="shared" si="3"/>
        <v>35.441113477913454</v>
      </c>
      <c r="G9">
        <f t="shared" si="4"/>
        <v>83.018942816677196</v>
      </c>
      <c r="H9">
        <f t="shared" si="5"/>
        <v>107.49307918860546</v>
      </c>
    </row>
    <row r="10" spans="1:8" x14ac:dyDescent="0.3">
      <c r="A10">
        <v>90.22</v>
      </c>
      <c r="B10">
        <v>9</v>
      </c>
      <c r="C10" s="3">
        <f t="shared" si="0"/>
        <v>0.31563421828908556</v>
      </c>
      <c r="D10">
        <f t="shared" si="1"/>
        <v>-0.14251577571788146</v>
      </c>
      <c r="E10">
        <f t="shared" si="2"/>
        <v>98.159839395542789</v>
      </c>
      <c r="F10">
        <f t="shared" si="3"/>
        <v>34.739986881497821</v>
      </c>
      <c r="G10">
        <f t="shared" si="4"/>
        <v>86.044417950123048</v>
      </c>
      <c r="H10">
        <f t="shared" si="5"/>
        <v>110.27526084096253</v>
      </c>
    </row>
    <row r="11" spans="1:8" x14ac:dyDescent="0.3">
      <c r="A11">
        <v>96.94</v>
      </c>
      <c r="B11">
        <v>10</v>
      </c>
      <c r="C11" s="3">
        <f t="shared" si="0"/>
        <v>0.35250737463126847</v>
      </c>
      <c r="D11">
        <f t="shared" si="1"/>
        <v>-4.1797904733464966E-2</v>
      </c>
      <c r="E11">
        <f t="shared" si="2"/>
        <v>101.01844542592619</v>
      </c>
      <c r="F11">
        <f t="shared" si="3"/>
        <v>34.720272153296449</v>
      </c>
      <c r="G11">
        <f t="shared" si="4"/>
        <v>88.906462181822818</v>
      </c>
      <c r="H11">
        <f t="shared" si="5"/>
        <v>113.13042867002956</v>
      </c>
    </row>
    <row r="12" spans="1:8" x14ac:dyDescent="0.3">
      <c r="A12">
        <v>99.38</v>
      </c>
      <c r="B12">
        <v>11</v>
      </c>
      <c r="C12" s="3">
        <f t="shared" si="0"/>
        <v>0.38938053097345132</v>
      </c>
      <c r="D12">
        <f t="shared" si="1"/>
        <v>5.84788542794034E-2</v>
      </c>
      <c r="E12">
        <f t="shared" si="2"/>
        <v>103.86453167874063</v>
      </c>
      <c r="F12">
        <f t="shared" si="3"/>
        <v>35.361510986534689</v>
      </c>
      <c r="G12">
        <f t="shared" si="4"/>
        <v>91.641213747834229</v>
      </c>
      <c r="H12">
        <f t="shared" si="5"/>
        <v>116.08784960964704</v>
      </c>
    </row>
    <row r="13" spans="1:8" x14ac:dyDescent="0.3">
      <c r="A13">
        <v>108.41</v>
      </c>
      <c r="B13">
        <v>12</v>
      </c>
      <c r="C13" s="3">
        <f t="shared" si="0"/>
        <v>0.42625368731563423</v>
      </c>
      <c r="D13">
        <f t="shared" si="1"/>
        <v>0.15932333517251901</v>
      </c>
      <c r="E13">
        <f t="shared" si="2"/>
        <v>106.72673119104512</v>
      </c>
      <c r="F13">
        <f t="shared" si="3"/>
        <v>36.671407623739924</v>
      </c>
      <c r="G13">
        <f t="shared" si="4"/>
        <v>94.279077670031498</v>
      </c>
      <c r="H13">
        <f t="shared" si="5"/>
        <v>119.17438471205874</v>
      </c>
    </row>
    <row r="14" spans="1:8" x14ac:dyDescent="0.3">
      <c r="A14">
        <v>109.67</v>
      </c>
      <c r="B14">
        <v>13</v>
      </c>
      <c r="C14" s="3">
        <f t="shared" si="0"/>
        <v>0.46312684365781709</v>
      </c>
      <c r="D14">
        <f t="shared" si="1"/>
        <v>0.26168390332384683</v>
      </c>
      <c r="E14">
        <f t="shared" si="2"/>
        <v>109.6319607648129</v>
      </c>
      <c r="F14">
        <f t="shared" si="3"/>
        <v>38.683016408273041</v>
      </c>
      <c r="G14">
        <f t="shared" si="4"/>
        <v>96.847457247794864</v>
      </c>
      <c r="H14">
        <f t="shared" si="5"/>
        <v>122.41646428183094</v>
      </c>
    </row>
    <row r="15" spans="1:8" x14ac:dyDescent="0.3">
      <c r="A15">
        <v>109.96</v>
      </c>
      <c r="B15">
        <v>14</v>
      </c>
      <c r="C15" s="3">
        <f t="shared" si="0"/>
        <v>0.5</v>
      </c>
      <c r="D15">
        <f t="shared" si="1"/>
        <v>0.36651292058166435</v>
      </c>
      <c r="E15">
        <f t="shared" si="2"/>
        <v>112.60725063108427</v>
      </c>
      <c r="F15">
        <f t="shared" si="3"/>
        <v>41.455297782194918</v>
      </c>
      <c r="G15">
        <f t="shared" si="4"/>
        <v>99.372562234026745</v>
      </c>
      <c r="H15">
        <f t="shared" si="5"/>
        <v>125.84193902814179</v>
      </c>
    </row>
    <row r="16" spans="1:8" x14ac:dyDescent="0.3">
      <c r="A16">
        <v>116.54</v>
      </c>
      <c r="B16">
        <v>15</v>
      </c>
      <c r="C16" s="3">
        <f t="shared" si="0"/>
        <v>0.53687315634218291</v>
      </c>
      <c r="D16">
        <f t="shared" si="1"/>
        <v>0.47482576458885201</v>
      </c>
      <c r="E16">
        <f t="shared" si="2"/>
        <v>115.68141955483792</v>
      </c>
      <c r="F16">
        <f t="shared" si="3"/>
        <v>45.076680694586159</v>
      </c>
      <c r="G16">
        <f t="shared" si="4"/>
        <v>101.88076563340627</v>
      </c>
      <c r="H16">
        <f t="shared" si="5"/>
        <v>129.48207347626956</v>
      </c>
    </row>
    <row r="17" spans="1:8" x14ac:dyDescent="0.3">
      <c r="A17">
        <v>120.4</v>
      </c>
      <c r="B17">
        <v>16</v>
      </c>
      <c r="C17" s="3">
        <f t="shared" si="0"/>
        <v>0.57374631268436582</v>
      </c>
      <c r="D17">
        <f t="shared" si="1"/>
        <v>0.58776436537124677</v>
      </c>
      <c r="E17">
        <f t="shared" si="2"/>
        <v>118.88687815026006</v>
      </c>
      <c r="F17">
        <f t="shared" si="3"/>
        <v>49.672051701954906</v>
      </c>
      <c r="G17">
        <f t="shared" si="4"/>
        <v>104.39983510863303</v>
      </c>
      <c r="H17">
        <f t="shared" si="5"/>
        <v>133.37392119188709</v>
      </c>
    </row>
    <row r="18" spans="1:8" x14ac:dyDescent="0.3">
      <c r="A18">
        <v>130.69999999999999</v>
      </c>
      <c r="B18">
        <v>17</v>
      </c>
      <c r="C18" s="3">
        <f t="shared" si="0"/>
        <v>0.61061946902654862</v>
      </c>
      <c r="D18">
        <f t="shared" si="1"/>
        <v>0.70667565081305528</v>
      </c>
      <c r="E18">
        <f t="shared" si="2"/>
        <v>122.26185534469647</v>
      </c>
      <c r="F18">
        <f t="shared" si="3"/>
        <v>55.414427183062209</v>
      </c>
      <c r="G18">
        <f t="shared" si="4"/>
        <v>106.96031593575121</v>
      </c>
      <c r="H18">
        <f t="shared" si="5"/>
        <v>137.56339475364172</v>
      </c>
    </row>
    <row r="19" spans="1:8" x14ac:dyDescent="0.3">
      <c r="A19">
        <v>132.51</v>
      </c>
      <c r="B19">
        <v>18</v>
      </c>
      <c r="C19" s="3">
        <f t="shared" si="0"/>
        <v>0.64749262536873153</v>
      </c>
      <c r="D19">
        <f t="shared" si="1"/>
        <v>0.83321905877023739</v>
      </c>
      <c r="E19">
        <f t="shared" si="2"/>
        <v>125.85344982098991</v>
      </c>
      <c r="F19">
        <f t="shared" si="3"/>
        <v>62.543818910527882</v>
      </c>
      <c r="G19">
        <f t="shared" si="4"/>
        <v>109.59736716596453</v>
      </c>
      <c r="H19">
        <f t="shared" si="5"/>
        <v>142.10953247601529</v>
      </c>
    </row>
    <row r="20" spans="1:8" x14ac:dyDescent="0.3">
      <c r="A20">
        <v>134.65</v>
      </c>
      <c r="B20">
        <v>19</v>
      </c>
      <c r="C20" s="3">
        <f t="shared" si="0"/>
        <v>0.68436578171091433</v>
      </c>
      <c r="D20">
        <f t="shared" si="1"/>
        <v>0.96952608000120999</v>
      </c>
      <c r="E20">
        <f t="shared" si="2"/>
        <v>129.72215821470428</v>
      </c>
      <c r="F20">
        <f t="shared" si="3"/>
        <v>71.398067245408882</v>
      </c>
      <c r="G20">
        <f t="shared" si="4"/>
        <v>112.35347361787476</v>
      </c>
      <c r="H20">
        <f t="shared" si="5"/>
        <v>147.0908428115338</v>
      </c>
    </row>
    <row r="21" spans="1:8" x14ac:dyDescent="0.3">
      <c r="A21">
        <v>143.27000000000001</v>
      </c>
      <c r="B21">
        <v>20</v>
      </c>
      <c r="C21" s="3">
        <f t="shared" si="0"/>
        <v>0.72123893805309724</v>
      </c>
      <c r="D21">
        <f t="shared" si="1"/>
        <v>1.1184534334015739</v>
      </c>
      <c r="E21">
        <f t="shared" si="2"/>
        <v>133.94906081260757</v>
      </c>
      <c r="F21">
        <f t="shared" si="3"/>
        <v>82.464963332469964</v>
      </c>
      <c r="G21">
        <f t="shared" si="4"/>
        <v>115.28275244537107</v>
      </c>
      <c r="H21">
        <f t="shared" si="5"/>
        <v>152.61536917984407</v>
      </c>
    </row>
    <row r="22" spans="1:8" x14ac:dyDescent="0.3">
      <c r="A22">
        <v>145.01</v>
      </c>
      <c r="B22">
        <v>21</v>
      </c>
      <c r="C22" s="3">
        <f t="shared" si="0"/>
        <v>0.75811209439528016</v>
      </c>
      <c r="D22">
        <f t="shared" si="1"/>
        <v>1.2840120974753026</v>
      </c>
      <c r="E22">
        <f t="shared" si="2"/>
        <v>138.64799845771134</v>
      </c>
      <c r="F22">
        <f t="shared" si="3"/>
        <v>96.474937167284793</v>
      </c>
      <c r="G22">
        <f t="shared" si="4"/>
        <v>118.45824790590645</v>
      </c>
      <c r="H22">
        <f t="shared" si="5"/>
        <v>158.83774900951624</v>
      </c>
    </row>
    <row r="23" spans="1:8" x14ac:dyDescent="0.3">
      <c r="A23">
        <v>147.41999999999999</v>
      </c>
      <c r="B23">
        <v>22</v>
      </c>
      <c r="C23" s="3">
        <f t="shared" si="0"/>
        <v>0.79498525073746307</v>
      </c>
      <c r="D23">
        <f t="shared" si="1"/>
        <v>1.4721498230271055</v>
      </c>
      <c r="E23">
        <f t="shared" si="2"/>
        <v>143.98778206858822</v>
      </c>
      <c r="F23">
        <f t="shared" si="3"/>
        <v>114.57751141775975</v>
      </c>
      <c r="G23">
        <f t="shared" si="4"/>
        <v>121.98521296600164</v>
      </c>
      <c r="H23">
        <f t="shared" si="5"/>
        <v>165.99035117117478</v>
      </c>
    </row>
    <row r="24" spans="1:8" x14ac:dyDescent="0.3">
      <c r="A24">
        <v>152.08000000000001</v>
      </c>
      <c r="B24">
        <v>23</v>
      </c>
      <c r="C24" s="3">
        <f t="shared" si="0"/>
        <v>0.83185840707964598</v>
      </c>
      <c r="D24">
        <f t="shared" si="1"/>
        <v>1.6923140163235744</v>
      </c>
      <c r="E24">
        <f t="shared" si="2"/>
        <v>150.23655087674896</v>
      </c>
      <c r="F24">
        <f t="shared" si="3"/>
        <v>138.70919150225714</v>
      </c>
      <c r="G24">
        <f t="shared" si="4"/>
        <v>126.02758037964148</v>
      </c>
      <c r="H24">
        <f t="shared" si="5"/>
        <v>174.44552137385645</v>
      </c>
    </row>
    <row r="25" spans="1:8" x14ac:dyDescent="0.3">
      <c r="A25">
        <v>173.77</v>
      </c>
      <c r="B25">
        <v>24</v>
      </c>
      <c r="C25" s="3">
        <f t="shared" si="0"/>
        <v>0.86873156342182878</v>
      </c>
      <c r="D25">
        <f t="shared" si="1"/>
        <v>1.960975331164573</v>
      </c>
      <c r="E25">
        <f t="shared" si="2"/>
        <v>157.86178011589794</v>
      </c>
      <c r="F25">
        <f t="shared" si="3"/>
        <v>172.46267030220292</v>
      </c>
      <c r="G25">
        <f t="shared" si="4"/>
        <v>130.86753083706387</v>
      </c>
      <c r="H25">
        <f t="shared" si="5"/>
        <v>184.85602939473202</v>
      </c>
    </row>
    <row r="26" spans="1:8" x14ac:dyDescent="0.3">
      <c r="A26">
        <v>177.45</v>
      </c>
      <c r="B26">
        <v>25</v>
      </c>
      <c r="C26" s="3">
        <f t="shared" si="0"/>
        <v>0.90560471976401169</v>
      </c>
      <c r="D26">
        <f t="shared" si="1"/>
        <v>2.3110976240650274</v>
      </c>
      <c r="E26">
        <f t="shared" si="2"/>
        <v>167.79906024378863</v>
      </c>
      <c r="F26">
        <f t="shared" si="3"/>
        <v>223.55432002184028</v>
      </c>
      <c r="G26">
        <f t="shared" si="4"/>
        <v>137.06533288166366</v>
      </c>
      <c r="H26">
        <f t="shared" si="5"/>
        <v>198.5327876059136</v>
      </c>
    </row>
    <row r="27" spans="1:8" x14ac:dyDescent="0.3">
      <c r="A27">
        <v>181.52</v>
      </c>
      <c r="B27">
        <v>26</v>
      </c>
      <c r="C27" s="3">
        <f t="shared" si="0"/>
        <v>0.9424778761061946</v>
      </c>
      <c r="D27">
        <f t="shared" si="1"/>
        <v>2.8261104588077983</v>
      </c>
      <c r="E27">
        <f t="shared" si="2"/>
        <v>182.41631516320919</v>
      </c>
      <c r="F27">
        <f t="shared" si="3"/>
        <v>313.31701674181596</v>
      </c>
      <c r="G27">
        <f t="shared" si="4"/>
        <v>146.03187538423188</v>
      </c>
      <c r="H27">
        <f t="shared" si="5"/>
        <v>218.8007549421865</v>
      </c>
    </row>
    <row r="28" spans="1:8" x14ac:dyDescent="0.3">
      <c r="A28">
        <v>195.21</v>
      </c>
      <c r="B28">
        <v>27</v>
      </c>
      <c r="C28" s="3">
        <f t="shared" si="0"/>
        <v>0.97935103244837751</v>
      </c>
      <c r="D28">
        <f t="shared" si="1"/>
        <v>3.8696755287774729</v>
      </c>
      <c r="E28">
        <f t="shared" si="2"/>
        <v>212.0351044898257</v>
      </c>
      <c r="F28">
        <f t="shared" si="3"/>
        <v>548.53294978573047</v>
      </c>
      <c r="G28">
        <f t="shared" si="4"/>
        <v>163.89300111048587</v>
      </c>
      <c r="H28">
        <f t="shared" si="5"/>
        <v>260.1772078691655</v>
      </c>
    </row>
    <row r="29" spans="1:8" x14ac:dyDescent="0.3">
      <c r="A29" t="s">
        <v>25</v>
      </c>
      <c r="B29">
        <f>AVERAGE(A2:A28)</f>
        <v>118.58703703703704</v>
      </c>
      <c r="C29" t="s">
        <v>14</v>
      </c>
      <c r="D29">
        <f>SQRT((6*B30^2)/PI()^2)</f>
        <v>28.382311921840408</v>
      </c>
      <c r="E29" t="s">
        <v>27</v>
      </c>
      <c r="F29">
        <f>_xlfn.T.INV(0.975,26)</f>
        <v>2.0555294386428731</v>
      </c>
    </row>
    <row r="30" spans="1:8" x14ac:dyDescent="0.3">
      <c r="A30" t="s">
        <v>26</v>
      </c>
      <c r="B30">
        <f>_xlfn.STDEV.S(A2:A28)</f>
        <v>36.401729334957466</v>
      </c>
      <c r="C30" t="s">
        <v>24</v>
      </c>
      <c r="D30">
        <f>B29-0.5772*D29</f>
        <v>102.20476659575075</v>
      </c>
    </row>
    <row r="32" spans="1:8" x14ac:dyDescent="0.3">
      <c r="D32">
        <f>-LN(-LN(0.99))</f>
        <v>4.6001492267765789</v>
      </c>
      <c r="E32">
        <f t="shared" si="2"/>
        <v>232.76763683713659</v>
      </c>
      <c r="F32">
        <f t="shared" ref="F32" si="6">(($D$29^2)/27)*(1.17+0.196*D32+1.099*D32^2)</f>
        <v>755.67019761369045</v>
      </c>
      <c r="G32">
        <f t="shared" ref="G32" si="7">E32-$F$29*SQRT(F32)</f>
        <v>176.26225053616645</v>
      </c>
      <c r="H32">
        <f t="shared" ref="H32" si="8">E32+$F$29*SQRT(F32)</f>
        <v>289.27302313810674</v>
      </c>
    </row>
  </sheetData>
  <sortState xmlns:xlrd2="http://schemas.microsoft.com/office/spreadsheetml/2017/richdata2" ref="A2:B28">
    <sortCondition ref="B2:B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02_Annual_Stats_WaterYear</vt:lpstr>
      <vt:lpstr>ObsMax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Sanghyup</cp:lastModifiedBy>
  <dcterms:created xsi:type="dcterms:W3CDTF">2025-12-15T22:39:52Z</dcterms:created>
  <dcterms:modified xsi:type="dcterms:W3CDTF">2025-12-17T06:53:56Z</dcterms:modified>
</cp:coreProperties>
</file>