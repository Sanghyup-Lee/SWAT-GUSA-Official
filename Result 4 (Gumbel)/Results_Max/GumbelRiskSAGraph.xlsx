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sl177_illinois_edu/Documents/02_Paper Work/01_Paper(CANOPY)/01_SWAT Uncertainty/Figurework (Results)/Result 4 (Gumbel)/Results_Max/"/>
    </mc:Choice>
  </mc:AlternateContent>
  <xr:revisionPtr revIDLastSave="51" documentId="13_ncr:1_{B5ECC612-14E4-46EA-BA98-7F25AF1BED8C}" xr6:coauthVersionLast="47" xr6:coauthVersionMax="47" xr10:uidLastSave="{BE058C08-CFE1-4CD2-9361-0F8499DA76CC}"/>
  <bookViews>
    <workbookView xWindow="28680" yWindow="-120" windowWidth="29040" windowHeight="175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2" l="1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19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3" i="1"/>
</calcChain>
</file>

<file path=xl/sharedStrings.xml><?xml version="1.0" encoding="utf-8"?>
<sst xmlns="http://schemas.openxmlformats.org/spreadsheetml/2006/main" count="519" uniqueCount="81">
  <si>
    <t>p47</t>
  </si>
  <si>
    <t>p72</t>
  </si>
  <si>
    <t>p74</t>
  </si>
  <si>
    <t>p77</t>
  </si>
  <si>
    <t>p83</t>
  </si>
  <si>
    <t>p84</t>
  </si>
  <si>
    <t>p86</t>
  </si>
  <si>
    <t>p89</t>
  </si>
  <si>
    <t>p90</t>
  </si>
  <si>
    <t>p92</t>
  </si>
  <si>
    <t>p94</t>
  </si>
  <si>
    <t>p95</t>
  </si>
  <si>
    <t>p98</t>
  </si>
  <si>
    <t>SobolFirstorderindexes</t>
  </si>
  <si>
    <t>GumbelRiskP</t>
  </si>
  <si>
    <t>p100</t>
  </si>
  <si>
    <t>p101</t>
  </si>
  <si>
    <t>p102</t>
  </si>
  <si>
    <t>p104</t>
  </si>
  <si>
    <t>p106</t>
  </si>
  <si>
    <t>p107</t>
  </si>
  <si>
    <t>p110</t>
  </si>
  <si>
    <t>p112</t>
  </si>
  <si>
    <t>p113</t>
  </si>
  <si>
    <t>p114</t>
  </si>
  <si>
    <t>p116</t>
  </si>
  <si>
    <t>p118</t>
  </si>
  <si>
    <t>p119</t>
  </si>
  <si>
    <t>p157</t>
  </si>
  <si>
    <t>p160</t>
  </si>
  <si>
    <t>p163</t>
  </si>
  <si>
    <t>p166</t>
  </si>
  <si>
    <t>p172</t>
  </si>
  <si>
    <t>p173</t>
  </si>
  <si>
    <t>p175</t>
  </si>
  <si>
    <t>p178</t>
  </si>
  <si>
    <t>p179</t>
  </si>
  <si>
    <t>p181</t>
  </si>
  <si>
    <t>p182</t>
  </si>
  <si>
    <t>p184</t>
  </si>
  <si>
    <t>p187</t>
  </si>
  <si>
    <t>p190</t>
  </si>
  <si>
    <t>p191</t>
  </si>
  <si>
    <t>p193</t>
  </si>
  <si>
    <t>p194</t>
  </si>
  <si>
    <t>p213</t>
  </si>
  <si>
    <t>p214</t>
  </si>
  <si>
    <t>p215</t>
  </si>
  <si>
    <t>p216</t>
  </si>
  <si>
    <t>p218</t>
  </si>
  <si>
    <t>p219</t>
  </si>
  <si>
    <t>p220</t>
  </si>
  <si>
    <t>p221</t>
  </si>
  <si>
    <t>p222</t>
  </si>
  <si>
    <t>p223</t>
  </si>
  <si>
    <t>p224</t>
  </si>
  <si>
    <t>p225</t>
  </si>
  <si>
    <t>SoboltotalorderIndexes</t>
  </si>
  <si>
    <t>mgt</t>
  </si>
  <si>
    <t>CN2</t>
  </si>
  <si>
    <t>total-first</t>
  </si>
  <si>
    <t>RCHRG_DP</t>
  </si>
  <si>
    <t>comb1</t>
  </si>
  <si>
    <t>GW_REVAP</t>
  </si>
  <si>
    <t>comb5</t>
  </si>
  <si>
    <t>GW_DELAY</t>
  </si>
  <si>
    <t>comb6</t>
  </si>
  <si>
    <t>comb7</t>
  </si>
  <si>
    <t>comb8</t>
  </si>
  <si>
    <t>GWQMN</t>
  </si>
  <si>
    <t>comb11</t>
  </si>
  <si>
    <t>comb9</t>
  </si>
  <si>
    <t>comb12</t>
  </si>
  <si>
    <t>comb10</t>
  </si>
  <si>
    <t>ESCO</t>
  </si>
  <si>
    <t>comb3</t>
  </si>
  <si>
    <t>comb2</t>
  </si>
  <si>
    <t>comb4</t>
  </si>
  <si>
    <t>EPCO</t>
  </si>
  <si>
    <t>First-order</t>
  </si>
  <si>
    <t>Total-First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</si>
</sst>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1" fontId="2" fillId="0" borderId="5" xfId="0" applyNumberFormat="1" applyFont="1" applyBorder="1" applyAlignment="1">
      <alignment vertical="center" wrapText="1"/>
    </xf>
    <xf numFmtId="11" fontId="2" fillId="0" borderId="3" xfId="0" applyNumberFormat="1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Sobol Total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Sheet1!$B$60</c:f>
              <c:strCache>
                <c:ptCount val="1"/>
                <c:pt idx="0">
                  <c:v>GumbelRiskP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3-47B9-95E5-1BAF47C85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3-47B9-95E5-1BAF47C85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F3-47B9-95E5-1BAF47C85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F3-47B9-95E5-1BAF47C85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F3-47B9-95E5-1BAF47C85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F3-47B9-95E5-1BAF47C858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F3-47B9-95E5-1BAF47C858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F3-47B9-95E5-1BAF47C858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F3-47B9-95E5-1BAF47C858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F3-47B9-95E5-1BAF47C858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F3-47B9-95E5-1BAF47C858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F3-47B9-95E5-1BAF47C8581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AF3-47B9-95E5-1BAF47C8581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AF3-47B9-95E5-1BAF47C8581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AF3-47B9-95E5-1BAF47C8581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AF3-47B9-95E5-1BAF47C8581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AF3-47B9-95E5-1BAF47C8581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AF3-47B9-95E5-1BAF47C8581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AF3-47B9-95E5-1BAF47C8581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AF3-47B9-95E5-1BAF47C8581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AF3-47B9-95E5-1BAF47C8581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AF3-47B9-95E5-1BAF47C8581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AF3-47B9-95E5-1BAF47C8581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AF3-47B9-95E5-1BAF47C8581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AF3-47B9-95E5-1BAF47C8581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AF3-47B9-95E5-1BAF47C8581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AF3-47B9-95E5-1BAF47C8581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AF3-47B9-95E5-1BAF47C8581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AF3-47B9-95E5-1BAF47C8581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AF3-47B9-95E5-1BAF47C8581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AF3-47B9-95E5-1BAF47C8581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AF3-47B9-95E5-1BAF47C8581D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AF3-47B9-95E5-1BAF47C8581D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AF3-47B9-95E5-1BAF47C8581D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AF3-47B9-95E5-1BAF47C8581D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AF3-47B9-95E5-1BAF47C8581D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AF3-47B9-95E5-1BAF47C8581D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AF3-47B9-95E5-1BAF47C8581D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AF3-47B9-95E5-1BAF47C8581D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AF3-47B9-95E5-1BAF47C8581D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AF3-47B9-95E5-1BAF47C8581D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AF3-47B9-95E5-1BAF47C8581D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AF3-47B9-95E5-1BAF47C8581D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AF3-47B9-95E5-1BAF47C8581D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AF3-47B9-95E5-1BAF47C8581D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AF3-47B9-95E5-1BAF47C8581D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AF3-47B9-95E5-1BAF47C8581D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AF3-47B9-95E5-1BAF47C8581D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AF3-47B9-95E5-1BAF47C8581D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AF3-47B9-95E5-1BAF47C8581D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AF3-47B9-95E5-1BAF47C8581D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AF3-47B9-95E5-1BAF47C8581D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AF3-47B9-95E5-1BAF47C8581D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AF3-47B9-95E5-1BAF47C8581D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AF3-47B9-95E5-1BAF47C8581D}"/>
              </c:ext>
            </c:extLst>
          </c:dPt>
          <c:cat>
            <c:strRef>
              <c:f>Sheet1!$A$61:$A$115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Sheet1!$B$61:$B$115</c:f>
              <c:numCache>
                <c:formatCode>General</c:formatCode>
                <c:ptCount val="55"/>
                <c:pt idx="0">
                  <c:v>1.0189999999999999E-3</c:v>
                </c:pt>
                <c:pt idx="1">
                  <c:v>2.039E-3</c:v>
                </c:pt>
                <c:pt idx="2">
                  <c:v>1.07E-4</c:v>
                </c:pt>
                <c:pt idx="3">
                  <c:v>6.1120000000000002E-3</c:v>
                </c:pt>
                <c:pt idx="4">
                  <c:v>-3.7200000000000002E-3</c:v>
                </c:pt>
                <c:pt idx="5">
                  <c:v>-2.7599999999999999E-3</c:v>
                </c:pt>
                <c:pt idx="6">
                  <c:v>4.95E-4</c:v>
                </c:pt>
                <c:pt idx="7">
                  <c:v>-2.4399999999999999E-4</c:v>
                </c:pt>
                <c:pt idx="8">
                  <c:v>1.2520000000000001E-3</c:v>
                </c:pt>
                <c:pt idx="9">
                  <c:v>-3.8300000000000001E-3</c:v>
                </c:pt>
                <c:pt idx="10">
                  <c:v>2.7390000000000001E-3</c:v>
                </c:pt>
                <c:pt idx="11">
                  <c:v>5.4229999999999999E-3</c:v>
                </c:pt>
                <c:pt idx="12">
                  <c:v>-1.4400000000000001E-3</c:v>
                </c:pt>
                <c:pt idx="13">
                  <c:v>-1.4400000000000001E-3</c:v>
                </c:pt>
                <c:pt idx="14">
                  <c:v>-5.4500000000000002E-4</c:v>
                </c:pt>
                <c:pt idx="15">
                  <c:v>8.0400000000000003E-4</c:v>
                </c:pt>
                <c:pt idx="16">
                  <c:v>2.078E-3</c:v>
                </c:pt>
                <c:pt idx="17">
                  <c:v>2.9E-4</c:v>
                </c:pt>
                <c:pt idx="18">
                  <c:v>-2.43E-4</c:v>
                </c:pt>
                <c:pt idx="19">
                  <c:v>9.4200000000000002E-4</c:v>
                </c:pt>
                <c:pt idx="20">
                  <c:v>2.9E-4</c:v>
                </c:pt>
                <c:pt idx="21">
                  <c:v>-4.9500000000000004E-3</c:v>
                </c:pt>
                <c:pt idx="22">
                  <c:v>-6.6699999999999995E-4</c:v>
                </c:pt>
                <c:pt idx="23">
                  <c:v>-2.0300000000000001E-3</c:v>
                </c:pt>
                <c:pt idx="24">
                  <c:v>1.3979999999999999E-3</c:v>
                </c:pt>
                <c:pt idx="25">
                  <c:v>6.868E-3</c:v>
                </c:pt>
                <c:pt idx="26">
                  <c:v>-5.5199999999999997E-3</c:v>
                </c:pt>
                <c:pt idx="27">
                  <c:v>-4.2700000000000004E-3</c:v>
                </c:pt>
                <c:pt idx="28">
                  <c:v>-1.47E-3</c:v>
                </c:pt>
                <c:pt idx="29">
                  <c:v>-2.3E-3</c:v>
                </c:pt>
                <c:pt idx="30">
                  <c:v>-1.74E-3</c:v>
                </c:pt>
                <c:pt idx="31">
                  <c:v>-2.0899999999999998E-3</c:v>
                </c:pt>
                <c:pt idx="32">
                  <c:v>-4.2700000000000004E-3</c:v>
                </c:pt>
                <c:pt idx="33">
                  <c:v>-6.7400000000000003E-3</c:v>
                </c:pt>
                <c:pt idx="34">
                  <c:v>-2.63E-3</c:v>
                </c:pt>
                <c:pt idx="35">
                  <c:v>6.3351000000000005E-2</c:v>
                </c:pt>
                <c:pt idx="36">
                  <c:v>-5.3E-3</c:v>
                </c:pt>
                <c:pt idx="37">
                  <c:v>-2.3600000000000001E-3</c:v>
                </c:pt>
                <c:pt idx="38">
                  <c:v>-1.5299999999999999E-3</c:v>
                </c:pt>
                <c:pt idx="39">
                  <c:v>-3.7799999999999999E-3</c:v>
                </c:pt>
                <c:pt idx="40">
                  <c:v>-3.1099999999999999E-3</c:v>
                </c:pt>
                <c:pt idx="41">
                  <c:v>1.2274999999999999E-2</c:v>
                </c:pt>
                <c:pt idx="42">
                  <c:v>-4.4900000000000001E-3</c:v>
                </c:pt>
                <c:pt idx="43">
                  <c:v>-1.4499999999999999E-3</c:v>
                </c:pt>
                <c:pt idx="44">
                  <c:v>-7.9299999999999995E-3</c:v>
                </c:pt>
                <c:pt idx="45">
                  <c:v>-3.82E-3</c:v>
                </c:pt>
                <c:pt idx="46">
                  <c:v>6.1799999999999995E-4</c:v>
                </c:pt>
                <c:pt idx="47">
                  <c:v>1.1617000000000001E-2</c:v>
                </c:pt>
                <c:pt idx="48">
                  <c:v>7.1014999999999995E-2</c:v>
                </c:pt>
                <c:pt idx="49">
                  <c:v>0.22309699999999999</c:v>
                </c:pt>
                <c:pt idx="50">
                  <c:v>0.94043699999999997</c:v>
                </c:pt>
                <c:pt idx="51">
                  <c:v>4.1502999999999998E-2</c:v>
                </c:pt>
                <c:pt idx="52">
                  <c:v>0.136158</c:v>
                </c:pt>
                <c:pt idx="53">
                  <c:v>4.5043E-2</c:v>
                </c:pt>
                <c:pt idx="54">
                  <c:v>0.60284000000000004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AF3-47B9-95E5-1BAF47C8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Sheet2!$A$3:$A$57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Sheet2!$B$3:$B$57</c:f>
              <c:numCache>
                <c:formatCode>General</c:formatCode>
                <c:ptCount val="55"/>
                <c:pt idx="0">
                  <c:v>-1.06E-3</c:v>
                </c:pt>
                <c:pt idx="1">
                  <c:v>2.777E-3</c:v>
                </c:pt>
                <c:pt idx="2">
                  <c:v>-1.34E-3</c:v>
                </c:pt>
                <c:pt idx="3">
                  <c:v>5.3749999999999996E-3</c:v>
                </c:pt>
                <c:pt idx="4">
                  <c:v>-2.7399999999999998E-3</c:v>
                </c:pt>
                <c:pt idx="5">
                  <c:v>-1.39E-3</c:v>
                </c:pt>
                <c:pt idx="6">
                  <c:v>1.2979999999999999E-3</c:v>
                </c:pt>
                <c:pt idx="7">
                  <c:v>-9.0899999999999998E-4</c:v>
                </c:pt>
                <c:pt idx="8">
                  <c:v>9.19E-4</c:v>
                </c:pt>
                <c:pt idx="9">
                  <c:v>-1.56E-3</c:v>
                </c:pt>
                <c:pt idx="10">
                  <c:v>-1.0399999999999999E-4</c:v>
                </c:pt>
                <c:pt idx="11">
                  <c:v>-1.2500000000000001E-2</c:v>
                </c:pt>
                <c:pt idx="12">
                  <c:v>-8.0400000000000003E-4</c:v>
                </c:pt>
                <c:pt idx="13">
                  <c:v>-8.0400000000000003E-4</c:v>
                </c:pt>
                <c:pt idx="14">
                  <c:v>-1.39E-3</c:v>
                </c:pt>
                <c:pt idx="15">
                  <c:v>1.4369999999999999E-3</c:v>
                </c:pt>
                <c:pt idx="16">
                  <c:v>-6.1899999999999998E-4</c:v>
                </c:pt>
                <c:pt idx="17">
                  <c:v>-2.1900000000000001E-3</c:v>
                </c:pt>
                <c:pt idx="18">
                  <c:v>6.02E-4</c:v>
                </c:pt>
                <c:pt idx="19">
                  <c:v>-2.5399999999999999E-4</c:v>
                </c:pt>
                <c:pt idx="20" formatCode="0.00E+00">
                  <c:v>-6.4899999999999997E-6</c:v>
                </c:pt>
                <c:pt idx="21">
                  <c:v>4.3750000000000004E-3</c:v>
                </c:pt>
                <c:pt idx="22">
                  <c:v>-1.6800000000000001E-3</c:v>
                </c:pt>
                <c:pt idx="23">
                  <c:v>1.2600000000000001E-3</c:v>
                </c:pt>
                <c:pt idx="24">
                  <c:v>-2E-3</c:v>
                </c:pt>
                <c:pt idx="25">
                  <c:v>4.1609999999999998E-3</c:v>
                </c:pt>
                <c:pt idx="26">
                  <c:v>3.5100000000000001E-3</c:v>
                </c:pt>
                <c:pt idx="27">
                  <c:v>3.3969999999999998E-3</c:v>
                </c:pt>
                <c:pt idx="28">
                  <c:v>-5.6699999999999997E-3</c:v>
                </c:pt>
                <c:pt idx="29">
                  <c:v>2.8500000000000001E-3</c:v>
                </c:pt>
                <c:pt idx="30">
                  <c:v>-2.4599999999999999E-3</c:v>
                </c:pt>
                <c:pt idx="31">
                  <c:v>8.4000000000000003E-4</c:v>
                </c:pt>
                <c:pt idx="32">
                  <c:v>2.016E-3</c:v>
                </c:pt>
                <c:pt idx="33">
                  <c:v>3.8419999999999999E-3</c:v>
                </c:pt>
                <c:pt idx="34">
                  <c:v>2.2269999999999998E-3</c:v>
                </c:pt>
                <c:pt idx="35">
                  <c:v>1.1261E-2</c:v>
                </c:pt>
                <c:pt idx="36">
                  <c:v>5.1050000000000002E-3</c:v>
                </c:pt>
                <c:pt idx="37">
                  <c:v>-7.36E-4</c:v>
                </c:pt>
                <c:pt idx="38">
                  <c:v>7.5030000000000001E-3</c:v>
                </c:pt>
                <c:pt idx="39" formatCode="0.00E+00">
                  <c:v>-8.8999999999999995E-5</c:v>
                </c:pt>
                <c:pt idx="40">
                  <c:v>1.8979999999999999E-3</c:v>
                </c:pt>
                <c:pt idx="41">
                  <c:v>9.5219999999999992E-3</c:v>
                </c:pt>
                <c:pt idx="42">
                  <c:v>-1.84E-4</c:v>
                </c:pt>
                <c:pt idx="43">
                  <c:v>2.4610000000000001E-3</c:v>
                </c:pt>
                <c:pt idx="44">
                  <c:v>3.6289999999999998E-3</c:v>
                </c:pt>
                <c:pt idx="45">
                  <c:v>2.8760000000000001E-3</c:v>
                </c:pt>
                <c:pt idx="46">
                  <c:v>4.4749999999999998E-3</c:v>
                </c:pt>
                <c:pt idx="47">
                  <c:v>7.6319999999999999E-3</c:v>
                </c:pt>
                <c:pt idx="48">
                  <c:v>4.3742000000000003E-2</c:v>
                </c:pt>
                <c:pt idx="49">
                  <c:v>7.8917000000000001E-2</c:v>
                </c:pt>
                <c:pt idx="50">
                  <c:v>0.265984</c:v>
                </c:pt>
                <c:pt idx="51">
                  <c:v>-3.5500000000000002E-3</c:v>
                </c:pt>
                <c:pt idx="52">
                  <c:v>2.0511999999999999E-2</c:v>
                </c:pt>
                <c:pt idx="53">
                  <c:v>-8.7200000000000003E-3</c:v>
                </c:pt>
                <c:pt idx="54">
                  <c:v>2.7158000000000002E-2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9-44DA-A431-8C4002382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888720"/>
        <c:axId val="1254889200"/>
      </c:barChart>
      <c:catAx>
        <c:axId val="12548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89200"/>
        <c:crosses val="autoZero"/>
        <c:auto val="1"/>
        <c:lblAlgn val="ctr"/>
        <c:lblOffset val="100"/>
        <c:noMultiLvlLbl val="0"/>
      </c:catAx>
      <c:valAx>
        <c:axId val="12548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8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Sheet2!$A$119:$A$173</c:f>
              <c:strCache>
                <c:ptCount val="55"/>
                <c:pt idx="0">
                  <c:v>p47</c:v>
                </c:pt>
                <c:pt idx="1">
                  <c:v>p72</c:v>
                </c:pt>
                <c:pt idx="2">
                  <c:v>p74</c:v>
                </c:pt>
                <c:pt idx="3">
                  <c:v>p77</c:v>
                </c:pt>
                <c:pt idx="4">
                  <c:v>p83</c:v>
                </c:pt>
                <c:pt idx="5">
                  <c:v>p84</c:v>
                </c:pt>
                <c:pt idx="6">
                  <c:v>p86</c:v>
                </c:pt>
                <c:pt idx="7">
                  <c:v>p89</c:v>
                </c:pt>
                <c:pt idx="8">
                  <c:v>p90</c:v>
                </c:pt>
                <c:pt idx="9">
                  <c:v>p92</c:v>
                </c:pt>
                <c:pt idx="10">
                  <c:v>p94</c:v>
                </c:pt>
                <c:pt idx="11">
                  <c:v>p95</c:v>
                </c:pt>
                <c:pt idx="12">
                  <c:v>p98</c:v>
                </c:pt>
                <c:pt idx="13">
                  <c:v>p100</c:v>
                </c:pt>
                <c:pt idx="14">
                  <c:v>p101</c:v>
                </c:pt>
                <c:pt idx="15">
                  <c:v>p102</c:v>
                </c:pt>
                <c:pt idx="16">
                  <c:v>p104</c:v>
                </c:pt>
                <c:pt idx="17">
                  <c:v>p106</c:v>
                </c:pt>
                <c:pt idx="18">
                  <c:v>p107</c:v>
                </c:pt>
                <c:pt idx="19">
                  <c:v>p110</c:v>
                </c:pt>
                <c:pt idx="20">
                  <c:v>p112</c:v>
                </c:pt>
                <c:pt idx="21">
                  <c:v>p113</c:v>
                </c:pt>
                <c:pt idx="22">
                  <c:v>p114</c:v>
                </c:pt>
                <c:pt idx="23">
                  <c:v>p116</c:v>
                </c:pt>
                <c:pt idx="24">
                  <c:v>p118</c:v>
                </c:pt>
                <c:pt idx="25">
                  <c:v>p119</c:v>
                </c:pt>
                <c:pt idx="26">
                  <c:v>p157</c:v>
                </c:pt>
                <c:pt idx="27">
                  <c:v>p160</c:v>
                </c:pt>
                <c:pt idx="28">
                  <c:v>p163</c:v>
                </c:pt>
                <c:pt idx="29">
                  <c:v>p166</c:v>
                </c:pt>
                <c:pt idx="30">
                  <c:v>p172</c:v>
                </c:pt>
                <c:pt idx="31">
                  <c:v>p173</c:v>
                </c:pt>
                <c:pt idx="32">
                  <c:v>p175</c:v>
                </c:pt>
                <c:pt idx="33">
                  <c:v>p178</c:v>
                </c:pt>
                <c:pt idx="34">
                  <c:v>p179</c:v>
                </c:pt>
                <c:pt idx="35">
                  <c:v>p181</c:v>
                </c:pt>
                <c:pt idx="36">
                  <c:v>p182</c:v>
                </c:pt>
                <c:pt idx="37">
                  <c:v>p184</c:v>
                </c:pt>
                <c:pt idx="38">
                  <c:v>p187</c:v>
                </c:pt>
                <c:pt idx="39">
                  <c:v>p190</c:v>
                </c:pt>
                <c:pt idx="40">
                  <c:v>p191</c:v>
                </c:pt>
                <c:pt idx="41">
                  <c:v>p193</c:v>
                </c:pt>
                <c:pt idx="42">
                  <c:v>p194</c:v>
                </c:pt>
                <c:pt idx="43">
                  <c:v>p213</c:v>
                </c:pt>
                <c:pt idx="44">
                  <c:v>p214</c:v>
                </c:pt>
                <c:pt idx="45">
                  <c:v>p215</c:v>
                </c:pt>
                <c:pt idx="46">
                  <c:v>p216</c:v>
                </c:pt>
                <c:pt idx="47">
                  <c:v>p218</c:v>
                </c:pt>
                <c:pt idx="48">
                  <c:v>p219</c:v>
                </c:pt>
                <c:pt idx="49">
                  <c:v>p220</c:v>
                </c:pt>
                <c:pt idx="50">
                  <c:v>p221</c:v>
                </c:pt>
                <c:pt idx="51">
                  <c:v>p222</c:v>
                </c:pt>
                <c:pt idx="52">
                  <c:v>p223</c:v>
                </c:pt>
                <c:pt idx="53">
                  <c:v>p224</c:v>
                </c:pt>
                <c:pt idx="54">
                  <c:v>p225</c:v>
                </c:pt>
              </c:strCache>
            </c:strRef>
          </c:cat>
          <c:val>
            <c:numRef>
              <c:f>Sheet2!$C$119:$C$173</c:f>
              <c:numCache>
                <c:formatCode>General</c:formatCode>
                <c:ptCount val="55"/>
                <c:pt idx="0">
                  <c:v>2.0790000000000001E-3</c:v>
                </c:pt>
                <c:pt idx="1">
                  <c:v>0</c:v>
                </c:pt>
                <c:pt idx="2">
                  <c:v>1.4469999999999999E-3</c:v>
                </c:pt>
                <c:pt idx="3">
                  <c:v>7.3700000000000068E-4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6.6500000000000001E-4</c:v>
                </c:pt>
                <c:pt idx="8">
                  <c:v>3.3300000000000007E-4</c:v>
                </c:pt>
                <c:pt idx="9">
                  <c:v>0</c:v>
                </c:pt>
                <c:pt idx="10">
                  <c:v>2.843E-3</c:v>
                </c:pt>
                <c:pt idx="11">
                  <c:v>1.7923000000000001E-2</c:v>
                </c:pt>
                <c:pt idx="12">
                  <c:v>0</c:v>
                </c:pt>
                <c:pt idx="13">
                  <c:v>0</c:v>
                </c:pt>
                <c:pt idx="14">
                  <c:v>8.4499999999999994E-4</c:v>
                </c:pt>
                <c:pt idx="15">
                  <c:v>0</c:v>
                </c:pt>
                <c:pt idx="16">
                  <c:v>2.6969999999999997E-3</c:v>
                </c:pt>
                <c:pt idx="17">
                  <c:v>2.48E-3</c:v>
                </c:pt>
                <c:pt idx="18">
                  <c:v>0</c:v>
                </c:pt>
                <c:pt idx="19">
                  <c:v>1.196E-3</c:v>
                </c:pt>
                <c:pt idx="20">
                  <c:v>2.9649E-4</c:v>
                </c:pt>
                <c:pt idx="21">
                  <c:v>0</c:v>
                </c:pt>
                <c:pt idx="22">
                  <c:v>1.013E-3</c:v>
                </c:pt>
                <c:pt idx="23">
                  <c:v>0</c:v>
                </c:pt>
                <c:pt idx="24">
                  <c:v>3.398E-3</c:v>
                </c:pt>
                <c:pt idx="25">
                  <c:v>2.7070000000000002E-3</c:v>
                </c:pt>
                <c:pt idx="26">
                  <c:v>0</c:v>
                </c:pt>
                <c:pt idx="27">
                  <c:v>0</c:v>
                </c:pt>
                <c:pt idx="28">
                  <c:v>4.1999999999999997E-3</c:v>
                </c:pt>
                <c:pt idx="29">
                  <c:v>0</c:v>
                </c:pt>
                <c:pt idx="30">
                  <c:v>7.1999999999999994E-4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5.2090000000000004E-2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2.7530000000000002E-3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3.9850000000000007E-3</c:v>
                </c:pt>
                <c:pt idx="48">
                  <c:v>2.7272999999999992E-2</c:v>
                </c:pt>
                <c:pt idx="49">
                  <c:v>0.14417999999999997</c:v>
                </c:pt>
                <c:pt idx="50">
                  <c:v>0.67445299999999997</c:v>
                </c:pt>
                <c:pt idx="51">
                  <c:v>4.5052999999999996E-2</c:v>
                </c:pt>
                <c:pt idx="52">
                  <c:v>0.115646</c:v>
                </c:pt>
                <c:pt idx="53">
                  <c:v>5.3762999999999998E-2</c:v>
                </c:pt>
                <c:pt idx="54">
                  <c:v>0.57568200000000003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9-4525-ADCF-88C82211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29216"/>
        <c:axId val="741231616"/>
      </c:barChart>
      <c:catAx>
        <c:axId val="7412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31616"/>
        <c:crosses val="autoZero"/>
        <c:auto val="1"/>
        <c:lblAlgn val="ctr"/>
        <c:lblOffset val="100"/>
        <c:noMultiLvlLbl val="0"/>
      </c:catAx>
      <c:valAx>
        <c:axId val="7412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2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106680</xdr:colOff>
      <xdr:row>30</xdr:row>
      <xdr:rowOff>74295</xdr:rowOff>
    </xdr:from>
    <xdr:to>
      <xdr:col>27</xdr:col>
      <xdr:colOff>411480</xdr:colOff>
      <xdr:row>45</xdr:row>
      <xdr:rowOff>74295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0D50C7-45C1-47B3-8848-B0A2E62BA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52387</xdr:rowOff>
    </xdr:from>
    <xdr:to>
      <xdr:col>11</xdr:col>
      <xdr:colOff>342900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2FA27-9E4E-AC90-67FC-893F48432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11</xdr:col>
      <xdr:colOff>304800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0EDDD-7C75-4DD3-863F-1ADE7D0D8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workbookViewId="0">
      <selection activeCell="K5" activeCellId="1" sqref="K3 K5"/>
    </sheetView>
  </sheetViews>
  <sheetFormatPr defaultRowHeight="15" x14ac:dyDescent="0.25"/>
  <cols>
    <col min="1" max="1" width="21.7109375" bestFit="1" customWidth="1"/>
  </cols>
  <sheetData>
    <row r="1" spans="1:13" x14ac:dyDescent="0.25">
      <c r="A1" t="s">
        <v>13</v>
      </c>
      <c r="I1" s="2">
        <v>219</v>
      </c>
      <c r="J1" s="2" t="s">
        <v>58</v>
      </c>
      <c r="K1" s="2" t="s">
        <v>59</v>
      </c>
      <c r="L1" s="2">
        <v>0</v>
      </c>
      <c r="M1" s="2">
        <v>100</v>
      </c>
    </row>
    <row r="2" spans="1:13" x14ac:dyDescent="0.25">
      <c r="B2" t="s">
        <v>14</v>
      </c>
      <c r="I2" s="2">
        <v>220</v>
      </c>
      <c r="J2" s="2" t="s">
        <v>58</v>
      </c>
      <c r="K2" s="2" t="s">
        <v>59</v>
      </c>
      <c r="L2" s="2">
        <v>0</v>
      </c>
      <c r="M2" s="2">
        <v>100</v>
      </c>
    </row>
    <row r="3" spans="1:13" x14ac:dyDescent="0.25">
      <c r="A3" t="s">
        <v>0</v>
      </c>
      <c r="B3">
        <v>-1.06E-3</v>
      </c>
      <c r="C3">
        <f>B61-B3</f>
        <v>2.0790000000000001E-3</v>
      </c>
      <c r="F3">
        <v>2.0790000000000001E-3</v>
      </c>
      <c r="I3" s="3">
        <v>221</v>
      </c>
      <c r="J3" s="2" t="s">
        <v>58</v>
      </c>
      <c r="K3" s="2" t="s">
        <v>59</v>
      </c>
      <c r="L3" s="2">
        <v>0</v>
      </c>
      <c r="M3" s="2">
        <v>100</v>
      </c>
    </row>
    <row r="4" spans="1:13" x14ac:dyDescent="0.25">
      <c r="A4" t="s">
        <v>1</v>
      </c>
      <c r="B4">
        <v>2.777E-3</v>
      </c>
      <c r="C4">
        <f t="shared" ref="C4:C57" si="0">B62-B4</f>
        <v>-7.3799999999999994E-4</v>
      </c>
      <c r="F4">
        <v>-7.3799999999999994E-4</v>
      </c>
      <c r="I4" s="2">
        <v>223</v>
      </c>
      <c r="J4" s="2" t="s">
        <v>58</v>
      </c>
      <c r="K4" s="2" t="s">
        <v>59</v>
      </c>
      <c r="L4" s="2">
        <v>0</v>
      </c>
      <c r="M4" s="2">
        <v>100</v>
      </c>
    </row>
    <row r="5" spans="1:13" x14ac:dyDescent="0.25">
      <c r="A5" t="s">
        <v>2</v>
      </c>
      <c r="B5">
        <v>-1.34E-3</v>
      </c>
      <c r="C5">
        <f t="shared" si="0"/>
        <v>1.4469999999999999E-3</v>
      </c>
      <c r="F5">
        <v>1.4469999999999999E-3</v>
      </c>
      <c r="I5" s="3">
        <v>225</v>
      </c>
      <c r="J5" s="2" t="s">
        <v>58</v>
      </c>
      <c r="K5" s="2" t="s">
        <v>59</v>
      </c>
      <c r="L5" s="2">
        <v>0</v>
      </c>
      <c r="M5" s="2">
        <v>100</v>
      </c>
    </row>
    <row r="6" spans="1:13" x14ac:dyDescent="0.25">
      <c r="A6" t="s">
        <v>3</v>
      </c>
      <c r="B6">
        <v>5.3749999999999996E-3</v>
      </c>
      <c r="C6">
        <f t="shared" si="0"/>
        <v>7.3700000000000068E-4</v>
      </c>
      <c r="F6">
        <v>7.3700000000000068E-4</v>
      </c>
    </row>
    <row r="7" spans="1:13" x14ac:dyDescent="0.25">
      <c r="A7" t="s">
        <v>4</v>
      </c>
      <c r="B7">
        <v>-2.7399999999999998E-3</v>
      </c>
      <c r="C7">
        <f t="shared" si="0"/>
        <v>-9.800000000000004E-4</v>
      </c>
      <c r="F7">
        <v>-9.800000000000004E-4</v>
      </c>
    </row>
    <row r="8" spans="1:13" x14ac:dyDescent="0.25">
      <c r="A8" t="s">
        <v>5</v>
      </c>
      <c r="B8">
        <v>-1.39E-3</v>
      </c>
      <c r="C8">
        <f t="shared" si="0"/>
        <v>-1.3699999999999999E-3</v>
      </c>
      <c r="F8">
        <v>-1.3699999999999999E-3</v>
      </c>
    </row>
    <row r="9" spans="1:13" x14ac:dyDescent="0.25">
      <c r="A9" t="s">
        <v>6</v>
      </c>
      <c r="B9">
        <v>1.2979999999999999E-3</v>
      </c>
      <c r="C9">
        <f t="shared" si="0"/>
        <v>-8.0299999999999989E-4</v>
      </c>
      <c r="F9">
        <v>-8.0299999999999989E-4</v>
      </c>
    </row>
    <row r="10" spans="1:13" x14ac:dyDescent="0.25">
      <c r="A10" t="s">
        <v>7</v>
      </c>
      <c r="B10">
        <v>-9.0899999999999998E-4</v>
      </c>
      <c r="C10">
        <f t="shared" si="0"/>
        <v>6.6500000000000001E-4</v>
      </c>
      <c r="F10">
        <v>6.6500000000000001E-4</v>
      </c>
    </row>
    <row r="11" spans="1:13" x14ac:dyDescent="0.25">
      <c r="A11" t="s">
        <v>8</v>
      </c>
      <c r="B11">
        <v>9.19E-4</v>
      </c>
      <c r="C11">
        <f t="shared" si="0"/>
        <v>3.3300000000000007E-4</v>
      </c>
      <c r="F11">
        <v>3.3300000000000007E-4</v>
      </c>
    </row>
    <row r="12" spans="1:13" x14ac:dyDescent="0.25">
      <c r="A12" t="s">
        <v>9</v>
      </c>
      <c r="B12">
        <v>-1.56E-3</v>
      </c>
      <c r="C12">
        <f t="shared" si="0"/>
        <v>-2.2700000000000003E-3</v>
      </c>
      <c r="F12">
        <v>-2.2700000000000003E-3</v>
      </c>
    </row>
    <row r="13" spans="1:13" x14ac:dyDescent="0.25">
      <c r="A13" t="s">
        <v>10</v>
      </c>
      <c r="B13">
        <v>-1.0399999999999999E-4</v>
      </c>
      <c r="C13">
        <f t="shared" si="0"/>
        <v>2.843E-3</v>
      </c>
      <c r="F13">
        <v>2.843E-3</v>
      </c>
    </row>
    <row r="14" spans="1:13" x14ac:dyDescent="0.25">
      <c r="A14" t="s">
        <v>11</v>
      </c>
      <c r="B14">
        <v>-1.2500000000000001E-2</v>
      </c>
      <c r="C14">
        <f t="shared" si="0"/>
        <v>1.7923000000000001E-2</v>
      </c>
      <c r="F14">
        <v>1.7923000000000001E-2</v>
      </c>
    </row>
    <row r="15" spans="1:13" x14ac:dyDescent="0.25">
      <c r="A15" t="s">
        <v>12</v>
      </c>
      <c r="B15">
        <v>-8.0400000000000003E-4</v>
      </c>
      <c r="C15">
        <f t="shared" si="0"/>
        <v>-6.3600000000000006E-4</v>
      </c>
      <c r="F15">
        <v>-6.3600000000000006E-4</v>
      </c>
    </row>
    <row r="16" spans="1:13" x14ac:dyDescent="0.25">
      <c r="A16" t="s">
        <v>15</v>
      </c>
      <c r="B16">
        <v>-8.0400000000000003E-4</v>
      </c>
      <c r="C16">
        <f t="shared" si="0"/>
        <v>-6.3600000000000006E-4</v>
      </c>
      <c r="F16">
        <v>-6.3600000000000006E-4</v>
      </c>
    </row>
    <row r="17" spans="1:6" x14ac:dyDescent="0.25">
      <c r="A17" t="s">
        <v>16</v>
      </c>
      <c r="B17">
        <v>-1.39E-3</v>
      </c>
      <c r="C17">
        <f t="shared" si="0"/>
        <v>8.4499999999999994E-4</v>
      </c>
      <c r="F17">
        <v>8.4499999999999994E-4</v>
      </c>
    </row>
    <row r="18" spans="1:6" x14ac:dyDescent="0.25">
      <c r="A18" t="s">
        <v>17</v>
      </c>
      <c r="B18">
        <v>1.4369999999999999E-3</v>
      </c>
      <c r="C18">
        <f t="shared" si="0"/>
        <v>-6.3299999999999988E-4</v>
      </c>
      <c r="F18">
        <v>-6.3299999999999988E-4</v>
      </c>
    </row>
    <row r="19" spans="1:6" x14ac:dyDescent="0.25">
      <c r="A19" t="s">
        <v>18</v>
      </c>
      <c r="B19">
        <v>-6.1899999999999998E-4</v>
      </c>
      <c r="C19">
        <f t="shared" si="0"/>
        <v>2.6969999999999997E-3</v>
      </c>
      <c r="F19">
        <v>2.6969999999999997E-3</v>
      </c>
    </row>
    <row r="20" spans="1:6" x14ac:dyDescent="0.25">
      <c r="A20" t="s">
        <v>19</v>
      </c>
      <c r="B20">
        <v>-2.1900000000000001E-3</v>
      </c>
      <c r="C20">
        <f t="shared" si="0"/>
        <v>2.48E-3</v>
      </c>
      <c r="F20">
        <v>2.48E-3</v>
      </c>
    </row>
    <row r="21" spans="1:6" x14ac:dyDescent="0.25">
      <c r="A21" t="s">
        <v>20</v>
      </c>
      <c r="B21">
        <v>6.02E-4</v>
      </c>
      <c r="C21">
        <f t="shared" si="0"/>
        <v>-8.4500000000000005E-4</v>
      </c>
      <c r="F21">
        <v>-8.4500000000000005E-4</v>
      </c>
    </row>
    <row r="22" spans="1:6" x14ac:dyDescent="0.25">
      <c r="A22" t="s">
        <v>21</v>
      </c>
      <c r="B22">
        <v>-2.5399999999999999E-4</v>
      </c>
      <c r="C22">
        <f t="shared" si="0"/>
        <v>1.196E-3</v>
      </c>
      <c r="F22">
        <v>1.196E-3</v>
      </c>
    </row>
    <row r="23" spans="1:6" x14ac:dyDescent="0.25">
      <c r="A23" t="s">
        <v>22</v>
      </c>
      <c r="B23" s="1">
        <v>-6.4899999999999997E-6</v>
      </c>
      <c r="C23">
        <f t="shared" si="0"/>
        <v>2.9649E-4</v>
      </c>
      <c r="F23">
        <v>2.9649E-4</v>
      </c>
    </row>
    <row r="24" spans="1:6" x14ac:dyDescent="0.25">
      <c r="A24" t="s">
        <v>23</v>
      </c>
      <c r="B24">
        <v>4.3750000000000004E-3</v>
      </c>
      <c r="C24">
        <f t="shared" si="0"/>
        <v>-9.325E-3</v>
      </c>
      <c r="F24">
        <v>-9.325E-3</v>
      </c>
    </row>
    <row r="25" spans="1:6" x14ac:dyDescent="0.25">
      <c r="A25" t="s">
        <v>24</v>
      </c>
      <c r="B25">
        <v>-1.6800000000000001E-3</v>
      </c>
      <c r="C25">
        <f t="shared" si="0"/>
        <v>1.013E-3</v>
      </c>
      <c r="F25">
        <v>1.013E-3</v>
      </c>
    </row>
    <row r="26" spans="1:6" x14ac:dyDescent="0.25">
      <c r="A26" t="s">
        <v>25</v>
      </c>
      <c r="B26">
        <v>1.2600000000000001E-3</v>
      </c>
      <c r="C26">
        <f t="shared" si="0"/>
        <v>-3.2900000000000004E-3</v>
      </c>
      <c r="F26">
        <v>-3.2900000000000004E-3</v>
      </c>
    </row>
    <row r="27" spans="1:6" x14ac:dyDescent="0.25">
      <c r="A27" t="s">
        <v>26</v>
      </c>
      <c r="B27">
        <v>-2E-3</v>
      </c>
      <c r="C27">
        <f t="shared" si="0"/>
        <v>3.398E-3</v>
      </c>
      <c r="F27">
        <v>3.398E-3</v>
      </c>
    </row>
    <row r="28" spans="1:6" x14ac:dyDescent="0.25">
      <c r="A28" t="s">
        <v>27</v>
      </c>
      <c r="B28">
        <v>4.1609999999999998E-3</v>
      </c>
      <c r="C28">
        <f t="shared" si="0"/>
        <v>2.7070000000000002E-3</v>
      </c>
      <c r="F28">
        <v>2.7070000000000002E-3</v>
      </c>
    </row>
    <row r="29" spans="1:6" x14ac:dyDescent="0.25">
      <c r="A29" t="s">
        <v>28</v>
      </c>
      <c r="B29">
        <v>3.5100000000000001E-3</v>
      </c>
      <c r="C29">
        <f t="shared" si="0"/>
        <v>-9.0299999999999998E-3</v>
      </c>
      <c r="F29">
        <v>-9.0299999999999998E-3</v>
      </c>
    </row>
    <row r="30" spans="1:6" x14ac:dyDescent="0.25">
      <c r="A30" t="s">
        <v>29</v>
      </c>
      <c r="B30">
        <v>3.3969999999999998E-3</v>
      </c>
      <c r="C30">
        <f t="shared" si="0"/>
        <v>-7.6670000000000002E-3</v>
      </c>
      <c r="F30">
        <v>-7.6670000000000002E-3</v>
      </c>
    </row>
    <row r="31" spans="1:6" x14ac:dyDescent="0.25">
      <c r="A31" t="s">
        <v>30</v>
      </c>
      <c r="B31">
        <v>-5.6699999999999997E-3</v>
      </c>
      <c r="C31">
        <f t="shared" si="0"/>
        <v>4.1999999999999997E-3</v>
      </c>
      <c r="F31">
        <v>4.1999999999999997E-3</v>
      </c>
    </row>
    <row r="32" spans="1:6" x14ac:dyDescent="0.25">
      <c r="A32" t="s">
        <v>31</v>
      </c>
      <c r="B32">
        <v>2.8500000000000001E-3</v>
      </c>
      <c r="C32">
        <f t="shared" si="0"/>
        <v>-5.1500000000000001E-3</v>
      </c>
      <c r="F32">
        <v>-5.1500000000000001E-3</v>
      </c>
    </row>
    <row r="33" spans="1:6" x14ac:dyDescent="0.25">
      <c r="A33" t="s">
        <v>32</v>
      </c>
      <c r="B33">
        <v>-2.4599999999999999E-3</v>
      </c>
      <c r="C33">
        <f t="shared" si="0"/>
        <v>7.1999999999999994E-4</v>
      </c>
      <c r="F33">
        <v>7.1999999999999994E-4</v>
      </c>
    </row>
    <row r="34" spans="1:6" x14ac:dyDescent="0.25">
      <c r="A34" t="s">
        <v>33</v>
      </c>
      <c r="B34">
        <v>8.4000000000000003E-4</v>
      </c>
      <c r="C34">
        <f t="shared" si="0"/>
        <v>-2.9299999999999999E-3</v>
      </c>
      <c r="F34">
        <v>-2.9299999999999999E-3</v>
      </c>
    </row>
    <row r="35" spans="1:6" x14ac:dyDescent="0.25">
      <c r="A35" t="s">
        <v>34</v>
      </c>
      <c r="B35">
        <v>2.016E-3</v>
      </c>
      <c r="C35">
        <f t="shared" si="0"/>
        <v>-6.2859999999999999E-3</v>
      </c>
      <c r="F35">
        <v>-6.2859999999999999E-3</v>
      </c>
    </row>
    <row r="36" spans="1:6" x14ac:dyDescent="0.25">
      <c r="A36" t="s">
        <v>35</v>
      </c>
      <c r="B36">
        <v>3.8419999999999999E-3</v>
      </c>
      <c r="C36">
        <f t="shared" si="0"/>
        <v>-1.0582000000000001E-2</v>
      </c>
      <c r="F36">
        <v>-1.0582000000000001E-2</v>
      </c>
    </row>
    <row r="37" spans="1:6" x14ac:dyDescent="0.25">
      <c r="A37" t="s">
        <v>36</v>
      </c>
      <c r="B37">
        <v>2.2269999999999998E-3</v>
      </c>
      <c r="C37">
        <f t="shared" si="0"/>
        <v>-4.8570000000000002E-3</v>
      </c>
      <c r="F37">
        <v>-4.8570000000000002E-3</v>
      </c>
    </row>
    <row r="38" spans="1:6" x14ac:dyDescent="0.25">
      <c r="A38" t="s">
        <v>37</v>
      </c>
      <c r="B38">
        <v>1.1261E-2</v>
      </c>
      <c r="C38">
        <f t="shared" si="0"/>
        <v>5.2090000000000004E-2</v>
      </c>
      <c r="F38">
        <v>5.2090000000000004E-2</v>
      </c>
    </row>
    <row r="39" spans="1:6" x14ac:dyDescent="0.25">
      <c r="A39" t="s">
        <v>38</v>
      </c>
      <c r="B39">
        <v>5.1050000000000002E-3</v>
      </c>
      <c r="C39">
        <f t="shared" si="0"/>
        <v>-1.0405000000000001E-2</v>
      </c>
      <c r="F39">
        <v>-1.0405000000000001E-2</v>
      </c>
    </row>
    <row r="40" spans="1:6" x14ac:dyDescent="0.25">
      <c r="A40" t="s">
        <v>39</v>
      </c>
      <c r="B40">
        <v>-7.36E-4</v>
      </c>
      <c r="C40">
        <f t="shared" si="0"/>
        <v>-1.624E-3</v>
      </c>
      <c r="F40">
        <v>-1.624E-3</v>
      </c>
    </row>
    <row r="41" spans="1:6" x14ac:dyDescent="0.25">
      <c r="A41" t="s">
        <v>40</v>
      </c>
      <c r="B41">
        <v>7.5030000000000001E-3</v>
      </c>
      <c r="C41">
        <f t="shared" si="0"/>
        <v>-9.0329999999999994E-3</v>
      </c>
      <c r="F41">
        <v>-9.0329999999999994E-3</v>
      </c>
    </row>
    <row r="42" spans="1:6" x14ac:dyDescent="0.25">
      <c r="A42" t="s">
        <v>41</v>
      </c>
      <c r="B42" s="1">
        <v>-8.8999999999999995E-5</v>
      </c>
      <c r="C42">
        <f t="shared" si="0"/>
        <v>-3.6909999999999998E-3</v>
      </c>
      <c r="F42">
        <v>-3.6909999999999998E-3</v>
      </c>
    </row>
    <row r="43" spans="1:6" x14ac:dyDescent="0.25">
      <c r="A43" t="s">
        <v>42</v>
      </c>
      <c r="B43">
        <v>1.8979999999999999E-3</v>
      </c>
      <c r="C43">
        <f t="shared" si="0"/>
        <v>-5.0080000000000003E-3</v>
      </c>
      <c r="F43">
        <v>-5.0080000000000003E-3</v>
      </c>
    </row>
    <row r="44" spans="1:6" x14ac:dyDescent="0.25">
      <c r="A44" t="s">
        <v>43</v>
      </c>
      <c r="B44">
        <v>9.5219999999999992E-3</v>
      </c>
      <c r="C44">
        <f t="shared" si="0"/>
        <v>2.7530000000000002E-3</v>
      </c>
      <c r="F44">
        <v>2.7530000000000002E-3</v>
      </c>
    </row>
    <row r="45" spans="1:6" x14ac:dyDescent="0.25">
      <c r="A45" t="s">
        <v>44</v>
      </c>
      <c r="B45">
        <v>-1.84E-4</v>
      </c>
      <c r="C45">
        <f t="shared" si="0"/>
        <v>-4.3059999999999999E-3</v>
      </c>
      <c r="F45">
        <v>-4.3059999999999999E-3</v>
      </c>
    </row>
    <row r="46" spans="1:6" x14ac:dyDescent="0.25">
      <c r="A46" t="s">
        <v>45</v>
      </c>
      <c r="B46">
        <v>2.4610000000000001E-3</v>
      </c>
      <c r="C46">
        <f t="shared" si="0"/>
        <v>-3.9109999999999995E-3</v>
      </c>
      <c r="F46">
        <v>-3.9109999999999995E-3</v>
      </c>
    </row>
    <row r="47" spans="1:6" x14ac:dyDescent="0.25">
      <c r="A47" t="s">
        <v>46</v>
      </c>
      <c r="B47">
        <v>3.6289999999999998E-3</v>
      </c>
      <c r="C47">
        <f t="shared" si="0"/>
        <v>-1.1559E-2</v>
      </c>
      <c r="F47">
        <v>-1.1559E-2</v>
      </c>
    </row>
    <row r="48" spans="1:6" x14ac:dyDescent="0.25">
      <c r="A48" t="s">
        <v>47</v>
      </c>
      <c r="B48">
        <v>2.8760000000000001E-3</v>
      </c>
      <c r="C48">
        <f t="shared" si="0"/>
        <v>-6.6960000000000006E-3</v>
      </c>
      <c r="F48">
        <v>-6.6960000000000006E-3</v>
      </c>
    </row>
    <row r="49" spans="1:6" x14ac:dyDescent="0.25">
      <c r="A49" t="s">
        <v>48</v>
      </c>
      <c r="B49">
        <v>4.4749999999999998E-3</v>
      </c>
      <c r="C49">
        <f t="shared" si="0"/>
        <v>-3.8569999999999998E-3</v>
      </c>
      <c r="F49">
        <v>-3.8569999999999998E-3</v>
      </c>
    </row>
    <row r="50" spans="1:6" x14ac:dyDescent="0.25">
      <c r="A50" t="s">
        <v>49</v>
      </c>
      <c r="B50">
        <v>7.6319999999999999E-3</v>
      </c>
      <c r="C50">
        <f t="shared" si="0"/>
        <v>3.9850000000000007E-3</v>
      </c>
      <c r="F50">
        <v>3.9850000000000007E-3</v>
      </c>
    </row>
    <row r="51" spans="1:6" x14ac:dyDescent="0.25">
      <c r="A51" t="s">
        <v>50</v>
      </c>
      <c r="B51">
        <v>4.3742000000000003E-2</v>
      </c>
      <c r="C51">
        <f t="shared" si="0"/>
        <v>2.7272999999999992E-2</v>
      </c>
      <c r="F51">
        <v>2.7272999999999992E-2</v>
      </c>
    </row>
    <row r="52" spans="1:6" x14ac:dyDescent="0.25">
      <c r="A52" t="s">
        <v>51</v>
      </c>
      <c r="B52">
        <v>7.8917000000000001E-2</v>
      </c>
      <c r="C52">
        <f t="shared" si="0"/>
        <v>0.14417999999999997</v>
      </c>
      <c r="F52">
        <v>0.14417999999999997</v>
      </c>
    </row>
    <row r="53" spans="1:6" x14ac:dyDescent="0.25">
      <c r="A53" t="s">
        <v>52</v>
      </c>
      <c r="B53">
        <v>0.265984</v>
      </c>
      <c r="C53">
        <f t="shared" si="0"/>
        <v>0.67445299999999997</v>
      </c>
      <c r="F53">
        <v>0.67445299999999997</v>
      </c>
    </row>
    <row r="54" spans="1:6" x14ac:dyDescent="0.25">
      <c r="A54" t="s">
        <v>53</v>
      </c>
      <c r="B54">
        <v>-3.5500000000000002E-3</v>
      </c>
      <c r="C54">
        <f t="shared" si="0"/>
        <v>4.5052999999999996E-2</v>
      </c>
      <c r="F54">
        <v>4.5052999999999996E-2</v>
      </c>
    </row>
    <row r="55" spans="1:6" x14ac:dyDescent="0.25">
      <c r="A55" t="s">
        <v>54</v>
      </c>
      <c r="B55">
        <v>2.0511999999999999E-2</v>
      </c>
      <c r="C55">
        <f t="shared" si="0"/>
        <v>0.115646</v>
      </c>
      <c r="F55">
        <v>0.115646</v>
      </c>
    </row>
    <row r="56" spans="1:6" x14ac:dyDescent="0.25">
      <c r="A56" t="s">
        <v>55</v>
      </c>
      <c r="B56">
        <v>-8.7200000000000003E-3</v>
      </c>
      <c r="C56">
        <f t="shared" si="0"/>
        <v>5.3762999999999998E-2</v>
      </c>
      <c r="F56">
        <v>5.3762999999999998E-2</v>
      </c>
    </row>
    <row r="57" spans="1:6" x14ac:dyDescent="0.25">
      <c r="A57" t="s">
        <v>56</v>
      </c>
      <c r="B57">
        <v>2.7158000000000002E-2</v>
      </c>
      <c r="C57">
        <f t="shared" si="0"/>
        <v>0.57568200000000003</v>
      </c>
      <c r="F57">
        <v>0.57568200000000003</v>
      </c>
    </row>
    <row r="59" spans="1:6" x14ac:dyDescent="0.25">
      <c r="A59" t="s">
        <v>57</v>
      </c>
    </row>
    <row r="60" spans="1:6" x14ac:dyDescent="0.25">
      <c r="B60" t="s">
        <v>14</v>
      </c>
    </row>
    <row r="61" spans="1:6" x14ac:dyDescent="0.25">
      <c r="A61" t="s">
        <v>0</v>
      </c>
      <c r="B61">
        <v>1.0189999999999999E-3</v>
      </c>
    </row>
    <row r="62" spans="1:6" x14ac:dyDescent="0.25">
      <c r="A62" t="s">
        <v>1</v>
      </c>
      <c r="B62">
        <v>2.039E-3</v>
      </c>
    </row>
    <row r="63" spans="1:6" x14ac:dyDescent="0.25">
      <c r="A63" t="s">
        <v>2</v>
      </c>
      <c r="B63">
        <v>1.07E-4</v>
      </c>
    </row>
    <row r="64" spans="1:6" x14ac:dyDescent="0.25">
      <c r="A64" t="s">
        <v>3</v>
      </c>
      <c r="B64">
        <v>6.1120000000000002E-3</v>
      </c>
    </row>
    <row r="65" spans="1:2" x14ac:dyDescent="0.25">
      <c r="A65" t="s">
        <v>4</v>
      </c>
      <c r="B65">
        <v>-3.7200000000000002E-3</v>
      </c>
    </row>
    <row r="66" spans="1:2" x14ac:dyDescent="0.25">
      <c r="A66" t="s">
        <v>5</v>
      </c>
      <c r="B66">
        <v>-2.7599999999999999E-3</v>
      </c>
    </row>
    <row r="67" spans="1:2" x14ac:dyDescent="0.25">
      <c r="A67" t="s">
        <v>6</v>
      </c>
      <c r="B67">
        <v>4.95E-4</v>
      </c>
    </row>
    <row r="68" spans="1:2" x14ac:dyDescent="0.25">
      <c r="A68" t="s">
        <v>7</v>
      </c>
      <c r="B68">
        <v>-2.4399999999999999E-4</v>
      </c>
    </row>
    <row r="69" spans="1:2" x14ac:dyDescent="0.25">
      <c r="A69" t="s">
        <v>8</v>
      </c>
      <c r="B69">
        <v>1.2520000000000001E-3</v>
      </c>
    </row>
    <row r="70" spans="1:2" x14ac:dyDescent="0.25">
      <c r="A70" t="s">
        <v>9</v>
      </c>
      <c r="B70">
        <v>-3.8300000000000001E-3</v>
      </c>
    </row>
    <row r="71" spans="1:2" x14ac:dyDescent="0.25">
      <c r="A71" t="s">
        <v>10</v>
      </c>
      <c r="B71">
        <v>2.7390000000000001E-3</v>
      </c>
    </row>
    <row r="72" spans="1:2" x14ac:dyDescent="0.25">
      <c r="A72" t="s">
        <v>11</v>
      </c>
      <c r="B72">
        <v>5.4229999999999999E-3</v>
      </c>
    </row>
    <row r="73" spans="1:2" x14ac:dyDescent="0.25">
      <c r="A73" t="s">
        <v>12</v>
      </c>
      <c r="B73">
        <v>-1.4400000000000001E-3</v>
      </c>
    </row>
    <row r="74" spans="1:2" x14ac:dyDescent="0.25">
      <c r="A74" t="s">
        <v>15</v>
      </c>
      <c r="B74">
        <v>-1.4400000000000001E-3</v>
      </c>
    </row>
    <row r="75" spans="1:2" x14ac:dyDescent="0.25">
      <c r="A75" t="s">
        <v>16</v>
      </c>
      <c r="B75">
        <v>-5.4500000000000002E-4</v>
      </c>
    </row>
    <row r="76" spans="1:2" x14ac:dyDescent="0.25">
      <c r="A76" t="s">
        <v>17</v>
      </c>
      <c r="B76">
        <v>8.0400000000000003E-4</v>
      </c>
    </row>
    <row r="77" spans="1:2" x14ac:dyDescent="0.25">
      <c r="A77" t="s">
        <v>18</v>
      </c>
      <c r="B77">
        <v>2.078E-3</v>
      </c>
    </row>
    <row r="78" spans="1:2" x14ac:dyDescent="0.25">
      <c r="A78" t="s">
        <v>19</v>
      </c>
      <c r="B78">
        <v>2.9E-4</v>
      </c>
    </row>
    <row r="79" spans="1:2" x14ac:dyDescent="0.25">
      <c r="A79" t="s">
        <v>20</v>
      </c>
      <c r="B79">
        <v>-2.43E-4</v>
      </c>
    </row>
    <row r="80" spans="1:2" x14ac:dyDescent="0.25">
      <c r="A80" t="s">
        <v>21</v>
      </c>
      <c r="B80">
        <v>9.4200000000000002E-4</v>
      </c>
    </row>
    <row r="81" spans="1:2" x14ac:dyDescent="0.25">
      <c r="A81" t="s">
        <v>22</v>
      </c>
      <c r="B81">
        <v>2.9E-4</v>
      </c>
    </row>
    <row r="82" spans="1:2" x14ac:dyDescent="0.25">
      <c r="A82" t="s">
        <v>23</v>
      </c>
      <c r="B82">
        <v>-4.9500000000000004E-3</v>
      </c>
    </row>
    <row r="83" spans="1:2" x14ac:dyDescent="0.25">
      <c r="A83" t="s">
        <v>24</v>
      </c>
      <c r="B83">
        <v>-6.6699999999999995E-4</v>
      </c>
    </row>
    <row r="84" spans="1:2" x14ac:dyDescent="0.25">
      <c r="A84" t="s">
        <v>25</v>
      </c>
      <c r="B84">
        <v>-2.0300000000000001E-3</v>
      </c>
    </row>
    <row r="85" spans="1:2" x14ac:dyDescent="0.25">
      <c r="A85" t="s">
        <v>26</v>
      </c>
      <c r="B85">
        <v>1.3979999999999999E-3</v>
      </c>
    </row>
    <row r="86" spans="1:2" x14ac:dyDescent="0.25">
      <c r="A86" t="s">
        <v>27</v>
      </c>
      <c r="B86">
        <v>6.868E-3</v>
      </c>
    </row>
    <row r="87" spans="1:2" x14ac:dyDescent="0.25">
      <c r="A87" t="s">
        <v>28</v>
      </c>
      <c r="B87">
        <v>-5.5199999999999997E-3</v>
      </c>
    </row>
    <row r="88" spans="1:2" x14ac:dyDescent="0.25">
      <c r="A88" t="s">
        <v>29</v>
      </c>
      <c r="B88">
        <v>-4.2700000000000004E-3</v>
      </c>
    </row>
    <row r="89" spans="1:2" x14ac:dyDescent="0.25">
      <c r="A89" t="s">
        <v>30</v>
      </c>
      <c r="B89">
        <v>-1.47E-3</v>
      </c>
    </row>
    <row r="90" spans="1:2" x14ac:dyDescent="0.25">
      <c r="A90" t="s">
        <v>31</v>
      </c>
      <c r="B90">
        <v>-2.3E-3</v>
      </c>
    </row>
    <row r="91" spans="1:2" x14ac:dyDescent="0.25">
      <c r="A91" t="s">
        <v>32</v>
      </c>
      <c r="B91">
        <v>-1.74E-3</v>
      </c>
    </row>
    <row r="92" spans="1:2" x14ac:dyDescent="0.25">
      <c r="A92" t="s">
        <v>33</v>
      </c>
      <c r="B92">
        <v>-2.0899999999999998E-3</v>
      </c>
    </row>
    <row r="93" spans="1:2" x14ac:dyDescent="0.25">
      <c r="A93" t="s">
        <v>34</v>
      </c>
      <c r="B93">
        <v>-4.2700000000000004E-3</v>
      </c>
    </row>
    <row r="94" spans="1:2" x14ac:dyDescent="0.25">
      <c r="A94" t="s">
        <v>35</v>
      </c>
      <c r="B94">
        <v>-6.7400000000000003E-3</v>
      </c>
    </row>
    <row r="95" spans="1:2" x14ac:dyDescent="0.25">
      <c r="A95" t="s">
        <v>36</v>
      </c>
      <c r="B95">
        <v>-2.63E-3</v>
      </c>
    </row>
    <row r="96" spans="1:2" x14ac:dyDescent="0.25">
      <c r="A96" t="s">
        <v>37</v>
      </c>
      <c r="B96">
        <v>6.3351000000000005E-2</v>
      </c>
    </row>
    <row r="97" spans="1:2" x14ac:dyDescent="0.25">
      <c r="A97" t="s">
        <v>38</v>
      </c>
      <c r="B97">
        <v>-5.3E-3</v>
      </c>
    </row>
    <row r="98" spans="1:2" x14ac:dyDescent="0.25">
      <c r="A98" t="s">
        <v>39</v>
      </c>
      <c r="B98">
        <v>-2.3600000000000001E-3</v>
      </c>
    </row>
    <row r="99" spans="1:2" x14ac:dyDescent="0.25">
      <c r="A99" t="s">
        <v>40</v>
      </c>
      <c r="B99">
        <v>-1.5299999999999999E-3</v>
      </c>
    </row>
    <row r="100" spans="1:2" x14ac:dyDescent="0.25">
      <c r="A100" t="s">
        <v>41</v>
      </c>
      <c r="B100">
        <v>-3.7799999999999999E-3</v>
      </c>
    </row>
    <row r="101" spans="1:2" x14ac:dyDescent="0.25">
      <c r="A101" t="s">
        <v>42</v>
      </c>
      <c r="B101">
        <v>-3.1099999999999999E-3</v>
      </c>
    </row>
    <row r="102" spans="1:2" x14ac:dyDescent="0.25">
      <c r="A102" t="s">
        <v>43</v>
      </c>
      <c r="B102">
        <v>1.2274999999999999E-2</v>
      </c>
    </row>
    <row r="103" spans="1:2" x14ac:dyDescent="0.25">
      <c r="A103" t="s">
        <v>44</v>
      </c>
      <c r="B103">
        <v>-4.4900000000000001E-3</v>
      </c>
    </row>
    <row r="104" spans="1:2" x14ac:dyDescent="0.25">
      <c r="A104" t="s">
        <v>45</v>
      </c>
      <c r="B104">
        <v>-1.4499999999999999E-3</v>
      </c>
    </row>
    <row r="105" spans="1:2" x14ac:dyDescent="0.25">
      <c r="A105" t="s">
        <v>46</v>
      </c>
      <c r="B105">
        <v>-7.9299999999999995E-3</v>
      </c>
    </row>
    <row r="106" spans="1:2" x14ac:dyDescent="0.25">
      <c r="A106" t="s">
        <v>47</v>
      </c>
      <c r="B106">
        <v>-3.82E-3</v>
      </c>
    </row>
    <row r="107" spans="1:2" x14ac:dyDescent="0.25">
      <c r="A107" t="s">
        <v>48</v>
      </c>
      <c r="B107">
        <v>6.1799999999999995E-4</v>
      </c>
    </row>
    <row r="108" spans="1:2" x14ac:dyDescent="0.25">
      <c r="A108" t="s">
        <v>49</v>
      </c>
      <c r="B108">
        <v>1.1617000000000001E-2</v>
      </c>
    </row>
    <row r="109" spans="1:2" x14ac:dyDescent="0.25">
      <c r="A109" t="s">
        <v>50</v>
      </c>
      <c r="B109">
        <v>7.1014999999999995E-2</v>
      </c>
    </row>
    <row r="110" spans="1:2" x14ac:dyDescent="0.25">
      <c r="A110" t="s">
        <v>51</v>
      </c>
      <c r="B110">
        <v>0.22309699999999999</v>
      </c>
    </row>
    <row r="111" spans="1:2" x14ac:dyDescent="0.25">
      <c r="A111" t="s">
        <v>52</v>
      </c>
      <c r="B111">
        <v>0.94043699999999997</v>
      </c>
    </row>
    <row r="112" spans="1:2" x14ac:dyDescent="0.25">
      <c r="A112" t="s">
        <v>53</v>
      </c>
      <c r="B112">
        <v>4.1502999999999998E-2</v>
      </c>
    </row>
    <row r="113" spans="1:2" x14ac:dyDescent="0.25">
      <c r="A113" t="s">
        <v>54</v>
      </c>
      <c r="B113">
        <v>0.136158</v>
      </c>
    </row>
    <row r="114" spans="1:2" x14ac:dyDescent="0.25">
      <c r="A114" t="s">
        <v>55</v>
      </c>
      <c r="B114">
        <v>4.5043E-2</v>
      </c>
    </row>
    <row r="115" spans="1:2" x14ac:dyDescent="0.25">
      <c r="A115" t="s">
        <v>56</v>
      </c>
      <c r="B115">
        <v>0.60284000000000004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4479-2C94-4767-9191-DD50ABF23F37}">
  <dimension ref="A1:C173"/>
  <sheetViews>
    <sheetView topLeftCell="A131" workbookViewId="0">
      <selection activeCell="C119" sqref="C119:C173"/>
    </sheetView>
  </sheetViews>
  <sheetFormatPr defaultRowHeight="15" x14ac:dyDescent="0.25"/>
  <sheetData>
    <row r="1" spans="1:2" x14ac:dyDescent="0.25">
      <c r="A1" t="s">
        <v>13</v>
      </c>
    </row>
    <row r="2" spans="1:2" x14ac:dyDescent="0.25">
      <c r="B2" t="s">
        <v>14</v>
      </c>
    </row>
    <row r="3" spans="1:2" x14ac:dyDescent="0.25">
      <c r="A3" t="s">
        <v>0</v>
      </c>
      <c r="B3">
        <v>-1.06E-3</v>
      </c>
    </row>
    <row r="4" spans="1:2" x14ac:dyDescent="0.25">
      <c r="A4" t="s">
        <v>1</v>
      </c>
      <c r="B4">
        <v>2.777E-3</v>
      </c>
    </row>
    <row r="5" spans="1:2" x14ac:dyDescent="0.25">
      <c r="A5" t="s">
        <v>2</v>
      </c>
      <c r="B5">
        <v>-1.34E-3</v>
      </c>
    </row>
    <row r="6" spans="1:2" x14ac:dyDescent="0.25">
      <c r="A6" t="s">
        <v>3</v>
      </c>
      <c r="B6">
        <v>5.3749999999999996E-3</v>
      </c>
    </row>
    <row r="7" spans="1:2" x14ac:dyDescent="0.25">
      <c r="A7" t="s">
        <v>4</v>
      </c>
      <c r="B7">
        <v>-2.7399999999999998E-3</v>
      </c>
    </row>
    <row r="8" spans="1:2" x14ac:dyDescent="0.25">
      <c r="A8" t="s">
        <v>5</v>
      </c>
      <c r="B8">
        <v>-1.39E-3</v>
      </c>
    </row>
    <row r="9" spans="1:2" x14ac:dyDescent="0.25">
      <c r="A9" t="s">
        <v>6</v>
      </c>
      <c r="B9">
        <v>1.2979999999999999E-3</v>
      </c>
    </row>
    <row r="10" spans="1:2" x14ac:dyDescent="0.25">
      <c r="A10" t="s">
        <v>7</v>
      </c>
      <c r="B10">
        <v>-9.0899999999999998E-4</v>
      </c>
    </row>
    <row r="11" spans="1:2" x14ac:dyDescent="0.25">
      <c r="A11" t="s">
        <v>8</v>
      </c>
      <c r="B11">
        <v>9.19E-4</v>
      </c>
    </row>
    <row r="12" spans="1:2" x14ac:dyDescent="0.25">
      <c r="A12" t="s">
        <v>9</v>
      </c>
      <c r="B12">
        <v>-1.56E-3</v>
      </c>
    </row>
    <row r="13" spans="1:2" x14ac:dyDescent="0.25">
      <c r="A13" t="s">
        <v>10</v>
      </c>
      <c r="B13">
        <v>-1.0399999999999999E-4</v>
      </c>
    </row>
    <row r="14" spans="1:2" x14ac:dyDescent="0.25">
      <c r="A14" t="s">
        <v>11</v>
      </c>
      <c r="B14">
        <v>-1.2500000000000001E-2</v>
      </c>
    </row>
    <row r="15" spans="1:2" x14ac:dyDescent="0.25">
      <c r="A15" t="s">
        <v>12</v>
      </c>
      <c r="B15">
        <v>-8.0400000000000003E-4</v>
      </c>
    </row>
    <row r="16" spans="1:2" x14ac:dyDescent="0.25">
      <c r="A16" t="s">
        <v>15</v>
      </c>
      <c r="B16">
        <v>-8.0400000000000003E-4</v>
      </c>
    </row>
    <row r="17" spans="1:2" x14ac:dyDescent="0.25">
      <c r="A17" t="s">
        <v>16</v>
      </c>
      <c r="B17">
        <v>-1.39E-3</v>
      </c>
    </row>
    <row r="18" spans="1:2" x14ac:dyDescent="0.25">
      <c r="A18" t="s">
        <v>17</v>
      </c>
      <c r="B18">
        <v>1.4369999999999999E-3</v>
      </c>
    </row>
    <row r="19" spans="1:2" x14ac:dyDescent="0.25">
      <c r="A19" t="s">
        <v>18</v>
      </c>
      <c r="B19">
        <v>-6.1899999999999998E-4</v>
      </c>
    </row>
    <row r="20" spans="1:2" x14ac:dyDescent="0.25">
      <c r="A20" t="s">
        <v>19</v>
      </c>
      <c r="B20">
        <v>-2.1900000000000001E-3</v>
      </c>
    </row>
    <row r="21" spans="1:2" x14ac:dyDescent="0.25">
      <c r="A21" t="s">
        <v>20</v>
      </c>
      <c r="B21">
        <v>6.02E-4</v>
      </c>
    </row>
    <row r="22" spans="1:2" x14ac:dyDescent="0.25">
      <c r="A22" t="s">
        <v>21</v>
      </c>
      <c r="B22">
        <v>-2.5399999999999999E-4</v>
      </c>
    </row>
    <row r="23" spans="1:2" x14ac:dyDescent="0.25">
      <c r="A23" t="s">
        <v>22</v>
      </c>
      <c r="B23" s="1">
        <v>-6.4899999999999997E-6</v>
      </c>
    </row>
    <row r="24" spans="1:2" x14ac:dyDescent="0.25">
      <c r="A24" t="s">
        <v>23</v>
      </c>
      <c r="B24">
        <v>4.3750000000000004E-3</v>
      </c>
    </row>
    <row r="25" spans="1:2" x14ac:dyDescent="0.25">
      <c r="A25" t="s">
        <v>24</v>
      </c>
      <c r="B25">
        <v>-1.6800000000000001E-3</v>
      </c>
    </row>
    <row r="26" spans="1:2" x14ac:dyDescent="0.25">
      <c r="A26" t="s">
        <v>25</v>
      </c>
      <c r="B26">
        <v>1.2600000000000001E-3</v>
      </c>
    </row>
    <row r="27" spans="1:2" x14ac:dyDescent="0.25">
      <c r="A27" t="s">
        <v>26</v>
      </c>
      <c r="B27">
        <v>-2E-3</v>
      </c>
    </row>
    <row r="28" spans="1:2" x14ac:dyDescent="0.25">
      <c r="A28" t="s">
        <v>27</v>
      </c>
      <c r="B28">
        <v>4.1609999999999998E-3</v>
      </c>
    </row>
    <row r="29" spans="1:2" x14ac:dyDescent="0.25">
      <c r="A29" t="s">
        <v>28</v>
      </c>
      <c r="B29">
        <v>3.5100000000000001E-3</v>
      </c>
    </row>
    <row r="30" spans="1:2" x14ac:dyDescent="0.25">
      <c r="A30" t="s">
        <v>29</v>
      </c>
      <c r="B30">
        <v>3.3969999999999998E-3</v>
      </c>
    </row>
    <row r="31" spans="1:2" x14ac:dyDescent="0.25">
      <c r="A31" t="s">
        <v>30</v>
      </c>
      <c r="B31">
        <v>-5.6699999999999997E-3</v>
      </c>
    </row>
    <row r="32" spans="1:2" x14ac:dyDescent="0.25">
      <c r="A32" t="s">
        <v>31</v>
      </c>
      <c r="B32">
        <v>2.8500000000000001E-3</v>
      </c>
    </row>
    <row r="33" spans="1:2" x14ac:dyDescent="0.25">
      <c r="A33" t="s">
        <v>32</v>
      </c>
      <c r="B33">
        <v>-2.4599999999999999E-3</v>
      </c>
    </row>
    <row r="34" spans="1:2" x14ac:dyDescent="0.25">
      <c r="A34" t="s">
        <v>33</v>
      </c>
      <c r="B34">
        <v>8.4000000000000003E-4</v>
      </c>
    </row>
    <row r="35" spans="1:2" x14ac:dyDescent="0.25">
      <c r="A35" t="s">
        <v>34</v>
      </c>
      <c r="B35">
        <v>2.016E-3</v>
      </c>
    </row>
    <row r="36" spans="1:2" x14ac:dyDescent="0.25">
      <c r="A36" t="s">
        <v>35</v>
      </c>
      <c r="B36">
        <v>3.8419999999999999E-3</v>
      </c>
    </row>
    <row r="37" spans="1:2" x14ac:dyDescent="0.25">
      <c r="A37" t="s">
        <v>36</v>
      </c>
      <c r="B37">
        <v>2.2269999999999998E-3</v>
      </c>
    </row>
    <row r="38" spans="1:2" x14ac:dyDescent="0.25">
      <c r="A38" t="s">
        <v>37</v>
      </c>
      <c r="B38">
        <v>1.1261E-2</v>
      </c>
    </row>
    <row r="39" spans="1:2" x14ac:dyDescent="0.25">
      <c r="A39" t="s">
        <v>38</v>
      </c>
      <c r="B39">
        <v>5.1050000000000002E-3</v>
      </c>
    </row>
    <row r="40" spans="1:2" x14ac:dyDescent="0.25">
      <c r="A40" t="s">
        <v>39</v>
      </c>
      <c r="B40">
        <v>-7.36E-4</v>
      </c>
    </row>
    <row r="41" spans="1:2" x14ac:dyDescent="0.25">
      <c r="A41" t="s">
        <v>40</v>
      </c>
      <c r="B41">
        <v>7.5030000000000001E-3</v>
      </c>
    </row>
    <row r="42" spans="1:2" x14ac:dyDescent="0.25">
      <c r="A42" t="s">
        <v>41</v>
      </c>
      <c r="B42" s="1">
        <v>-8.8999999999999995E-5</v>
      </c>
    </row>
    <row r="43" spans="1:2" x14ac:dyDescent="0.25">
      <c r="A43" t="s">
        <v>42</v>
      </c>
      <c r="B43">
        <v>1.8979999999999999E-3</v>
      </c>
    </row>
    <row r="44" spans="1:2" x14ac:dyDescent="0.25">
      <c r="A44" t="s">
        <v>43</v>
      </c>
      <c r="B44">
        <v>9.5219999999999992E-3</v>
      </c>
    </row>
    <row r="45" spans="1:2" x14ac:dyDescent="0.25">
      <c r="A45" t="s">
        <v>44</v>
      </c>
      <c r="B45">
        <v>-1.84E-4</v>
      </c>
    </row>
    <row r="46" spans="1:2" x14ac:dyDescent="0.25">
      <c r="A46" t="s">
        <v>45</v>
      </c>
      <c r="B46">
        <v>2.4610000000000001E-3</v>
      </c>
    </row>
    <row r="47" spans="1:2" x14ac:dyDescent="0.25">
      <c r="A47" t="s">
        <v>46</v>
      </c>
      <c r="B47">
        <v>3.6289999999999998E-3</v>
      </c>
    </row>
    <row r="48" spans="1:2" x14ac:dyDescent="0.25">
      <c r="A48" t="s">
        <v>47</v>
      </c>
      <c r="B48">
        <v>2.8760000000000001E-3</v>
      </c>
    </row>
    <row r="49" spans="1:2" x14ac:dyDescent="0.25">
      <c r="A49" t="s">
        <v>48</v>
      </c>
      <c r="B49">
        <v>4.4749999999999998E-3</v>
      </c>
    </row>
    <row r="50" spans="1:2" x14ac:dyDescent="0.25">
      <c r="A50" t="s">
        <v>49</v>
      </c>
      <c r="B50">
        <v>7.6319999999999999E-3</v>
      </c>
    </row>
    <row r="51" spans="1:2" x14ac:dyDescent="0.25">
      <c r="A51" t="s">
        <v>50</v>
      </c>
      <c r="B51">
        <v>4.3742000000000003E-2</v>
      </c>
    </row>
    <row r="52" spans="1:2" x14ac:dyDescent="0.25">
      <c r="A52" t="s">
        <v>51</v>
      </c>
      <c r="B52">
        <v>7.8917000000000001E-2</v>
      </c>
    </row>
    <row r="53" spans="1:2" x14ac:dyDescent="0.25">
      <c r="A53" t="s">
        <v>52</v>
      </c>
      <c r="B53">
        <v>0.265984</v>
      </c>
    </row>
    <row r="54" spans="1:2" x14ac:dyDescent="0.25">
      <c r="A54" t="s">
        <v>53</v>
      </c>
      <c r="B54">
        <v>-3.5500000000000002E-3</v>
      </c>
    </row>
    <row r="55" spans="1:2" x14ac:dyDescent="0.25">
      <c r="A55" t="s">
        <v>54</v>
      </c>
      <c r="B55">
        <v>2.0511999999999999E-2</v>
      </c>
    </row>
    <row r="56" spans="1:2" x14ac:dyDescent="0.25">
      <c r="A56" t="s">
        <v>55</v>
      </c>
      <c r="B56">
        <v>-8.7200000000000003E-3</v>
      </c>
    </row>
    <row r="57" spans="1:2" x14ac:dyDescent="0.25">
      <c r="A57" t="s">
        <v>56</v>
      </c>
      <c r="B57">
        <v>2.7158000000000002E-2</v>
      </c>
    </row>
    <row r="59" spans="1:2" x14ac:dyDescent="0.25">
      <c r="A59" t="s">
        <v>57</v>
      </c>
    </row>
    <row r="60" spans="1:2" x14ac:dyDescent="0.25">
      <c r="B60" t="s">
        <v>14</v>
      </c>
    </row>
    <row r="61" spans="1:2" x14ac:dyDescent="0.25">
      <c r="A61" t="s">
        <v>0</v>
      </c>
      <c r="B61">
        <v>1.0189999999999999E-3</v>
      </c>
    </row>
    <row r="62" spans="1:2" x14ac:dyDescent="0.25">
      <c r="A62" t="s">
        <v>1</v>
      </c>
      <c r="B62">
        <v>2.039E-3</v>
      </c>
    </row>
    <row r="63" spans="1:2" x14ac:dyDescent="0.25">
      <c r="A63" t="s">
        <v>2</v>
      </c>
      <c r="B63">
        <v>1.07E-4</v>
      </c>
    </row>
    <row r="64" spans="1:2" x14ac:dyDescent="0.25">
      <c r="A64" t="s">
        <v>3</v>
      </c>
      <c r="B64">
        <v>6.1120000000000002E-3</v>
      </c>
    </row>
    <row r="65" spans="1:2" x14ac:dyDescent="0.25">
      <c r="A65" t="s">
        <v>4</v>
      </c>
      <c r="B65">
        <v>-3.7200000000000002E-3</v>
      </c>
    </row>
    <row r="66" spans="1:2" x14ac:dyDescent="0.25">
      <c r="A66" t="s">
        <v>5</v>
      </c>
      <c r="B66">
        <v>-2.7599999999999999E-3</v>
      </c>
    </row>
    <row r="67" spans="1:2" x14ac:dyDescent="0.25">
      <c r="A67" t="s">
        <v>6</v>
      </c>
      <c r="B67">
        <v>4.95E-4</v>
      </c>
    </row>
    <row r="68" spans="1:2" x14ac:dyDescent="0.25">
      <c r="A68" t="s">
        <v>7</v>
      </c>
      <c r="B68">
        <v>-2.4399999999999999E-4</v>
      </c>
    </row>
    <row r="69" spans="1:2" x14ac:dyDescent="0.25">
      <c r="A69" t="s">
        <v>8</v>
      </c>
      <c r="B69">
        <v>1.2520000000000001E-3</v>
      </c>
    </row>
    <row r="70" spans="1:2" x14ac:dyDescent="0.25">
      <c r="A70" t="s">
        <v>9</v>
      </c>
      <c r="B70">
        <v>-3.8300000000000001E-3</v>
      </c>
    </row>
    <row r="71" spans="1:2" x14ac:dyDescent="0.25">
      <c r="A71" t="s">
        <v>10</v>
      </c>
      <c r="B71">
        <v>2.7390000000000001E-3</v>
      </c>
    </row>
    <row r="72" spans="1:2" x14ac:dyDescent="0.25">
      <c r="A72" t="s">
        <v>11</v>
      </c>
      <c r="B72">
        <v>5.4229999999999999E-3</v>
      </c>
    </row>
    <row r="73" spans="1:2" x14ac:dyDescent="0.25">
      <c r="A73" t="s">
        <v>12</v>
      </c>
      <c r="B73">
        <v>-1.4400000000000001E-3</v>
      </c>
    </row>
    <row r="74" spans="1:2" x14ac:dyDescent="0.25">
      <c r="A74" t="s">
        <v>15</v>
      </c>
      <c r="B74">
        <v>-1.4400000000000001E-3</v>
      </c>
    </row>
    <row r="75" spans="1:2" x14ac:dyDescent="0.25">
      <c r="A75" t="s">
        <v>16</v>
      </c>
      <c r="B75">
        <v>-5.4500000000000002E-4</v>
      </c>
    </row>
    <row r="76" spans="1:2" x14ac:dyDescent="0.25">
      <c r="A76" t="s">
        <v>17</v>
      </c>
      <c r="B76">
        <v>8.0400000000000003E-4</v>
      </c>
    </row>
    <row r="77" spans="1:2" x14ac:dyDescent="0.25">
      <c r="A77" t="s">
        <v>18</v>
      </c>
      <c r="B77">
        <v>2.078E-3</v>
      </c>
    </row>
    <row r="78" spans="1:2" x14ac:dyDescent="0.25">
      <c r="A78" t="s">
        <v>19</v>
      </c>
      <c r="B78">
        <v>2.9E-4</v>
      </c>
    </row>
    <row r="79" spans="1:2" x14ac:dyDescent="0.25">
      <c r="A79" t="s">
        <v>20</v>
      </c>
      <c r="B79">
        <v>-2.43E-4</v>
      </c>
    </row>
    <row r="80" spans="1:2" x14ac:dyDescent="0.25">
      <c r="A80" t="s">
        <v>21</v>
      </c>
      <c r="B80">
        <v>9.4200000000000002E-4</v>
      </c>
    </row>
    <row r="81" spans="1:2" x14ac:dyDescent="0.25">
      <c r="A81" t="s">
        <v>22</v>
      </c>
      <c r="B81">
        <v>2.9E-4</v>
      </c>
    </row>
    <row r="82" spans="1:2" x14ac:dyDescent="0.25">
      <c r="A82" t="s">
        <v>23</v>
      </c>
      <c r="B82">
        <v>-4.9500000000000004E-3</v>
      </c>
    </row>
    <row r="83" spans="1:2" x14ac:dyDescent="0.25">
      <c r="A83" t="s">
        <v>24</v>
      </c>
      <c r="B83">
        <v>-6.6699999999999995E-4</v>
      </c>
    </row>
    <row r="84" spans="1:2" x14ac:dyDescent="0.25">
      <c r="A84" t="s">
        <v>25</v>
      </c>
      <c r="B84">
        <v>-2.0300000000000001E-3</v>
      </c>
    </row>
    <row r="85" spans="1:2" x14ac:dyDescent="0.25">
      <c r="A85" t="s">
        <v>26</v>
      </c>
      <c r="B85">
        <v>1.3979999999999999E-3</v>
      </c>
    </row>
    <row r="86" spans="1:2" x14ac:dyDescent="0.25">
      <c r="A86" t="s">
        <v>27</v>
      </c>
      <c r="B86">
        <v>6.868E-3</v>
      </c>
    </row>
    <row r="87" spans="1:2" x14ac:dyDescent="0.25">
      <c r="A87" t="s">
        <v>28</v>
      </c>
      <c r="B87">
        <v>-5.5199999999999997E-3</v>
      </c>
    </row>
    <row r="88" spans="1:2" x14ac:dyDescent="0.25">
      <c r="A88" t="s">
        <v>29</v>
      </c>
      <c r="B88">
        <v>-4.2700000000000004E-3</v>
      </c>
    </row>
    <row r="89" spans="1:2" x14ac:dyDescent="0.25">
      <c r="A89" t="s">
        <v>30</v>
      </c>
      <c r="B89">
        <v>-1.47E-3</v>
      </c>
    </row>
    <row r="90" spans="1:2" x14ac:dyDescent="0.25">
      <c r="A90" t="s">
        <v>31</v>
      </c>
      <c r="B90">
        <v>-2.3E-3</v>
      </c>
    </row>
    <row r="91" spans="1:2" x14ac:dyDescent="0.25">
      <c r="A91" t="s">
        <v>32</v>
      </c>
      <c r="B91">
        <v>-1.74E-3</v>
      </c>
    </row>
    <row r="92" spans="1:2" x14ac:dyDescent="0.25">
      <c r="A92" t="s">
        <v>33</v>
      </c>
      <c r="B92">
        <v>-2.0899999999999998E-3</v>
      </c>
    </row>
    <row r="93" spans="1:2" x14ac:dyDescent="0.25">
      <c r="A93" t="s">
        <v>34</v>
      </c>
      <c r="B93">
        <v>-4.2700000000000004E-3</v>
      </c>
    </row>
    <row r="94" spans="1:2" x14ac:dyDescent="0.25">
      <c r="A94" t="s">
        <v>35</v>
      </c>
      <c r="B94">
        <v>-6.7400000000000003E-3</v>
      </c>
    </row>
    <row r="95" spans="1:2" x14ac:dyDescent="0.25">
      <c r="A95" t="s">
        <v>36</v>
      </c>
      <c r="B95">
        <v>-2.63E-3</v>
      </c>
    </row>
    <row r="96" spans="1:2" x14ac:dyDescent="0.25">
      <c r="A96" t="s">
        <v>37</v>
      </c>
      <c r="B96">
        <v>6.3351000000000005E-2</v>
      </c>
    </row>
    <row r="97" spans="1:2" x14ac:dyDescent="0.25">
      <c r="A97" t="s">
        <v>38</v>
      </c>
      <c r="B97">
        <v>-5.3E-3</v>
      </c>
    </row>
    <row r="98" spans="1:2" x14ac:dyDescent="0.25">
      <c r="A98" t="s">
        <v>39</v>
      </c>
      <c r="B98">
        <v>-2.3600000000000001E-3</v>
      </c>
    </row>
    <row r="99" spans="1:2" x14ac:dyDescent="0.25">
      <c r="A99" t="s">
        <v>40</v>
      </c>
      <c r="B99">
        <v>-1.5299999999999999E-3</v>
      </c>
    </row>
    <row r="100" spans="1:2" x14ac:dyDescent="0.25">
      <c r="A100" t="s">
        <v>41</v>
      </c>
      <c r="B100">
        <v>-3.7799999999999999E-3</v>
      </c>
    </row>
    <row r="101" spans="1:2" x14ac:dyDescent="0.25">
      <c r="A101" t="s">
        <v>42</v>
      </c>
      <c r="B101">
        <v>-3.1099999999999999E-3</v>
      </c>
    </row>
    <row r="102" spans="1:2" x14ac:dyDescent="0.25">
      <c r="A102" t="s">
        <v>43</v>
      </c>
      <c r="B102">
        <v>1.2274999999999999E-2</v>
      </c>
    </row>
    <row r="103" spans="1:2" x14ac:dyDescent="0.25">
      <c r="A103" t="s">
        <v>44</v>
      </c>
      <c r="B103">
        <v>-4.4900000000000001E-3</v>
      </c>
    </row>
    <row r="104" spans="1:2" x14ac:dyDescent="0.25">
      <c r="A104" t="s">
        <v>45</v>
      </c>
      <c r="B104">
        <v>-1.4499999999999999E-3</v>
      </c>
    </row>
    <row r="105" spans="1:2" x14ac:dyDescent="0.25">
      <c r="A105" t="s">
        <v>46</v>
      </c>
      <c r="B105">
        <v>-7.9299999999999995E-3</v>
      </c>
    </row>
    <row r="106" spans="1:2" x14ac:dyDescent="0.25">
      <c r="A106" t="s">
        <v>47</v>
      </c>
      <c r="B106">
        <v>-3.82E-3</v>
      </c>
    </row>
    <row r="107" spans="1:2" x14ac:dyDescent="0.25">
      <c r="A107" t="s">
        <v>48</v>
      </c>
      <c r="B107">
        <v>6.1799999999999995E-4</v>
      </c>
    </row>
    <row r="108" spans="1:2" x14ac:dyDescent="0.25">
      <c r="A108" t="s">
        <v>49</v>
      </c>
      <c r="B108">
        <v>1.1617000000000001E-2</v>
      </c>
    </row>
    <row r="109" spans="1:2" x14ac:dyDescent="0.25">
      <c r="A109" t="s">
        <v>50</v>
      </c>
      <c r="B109">
        <v>7.1014999999999995E-2</v>
      </c>
    </row>
    <row r="110" spans="1:2" x14ac:dyDescent="0.25">
      <c r="A110" t="s">
        <v>51</v>
      </c>
      <c r="B110">
        <v>0.22309699999999999</v>
      </c>
    </row>
    <row r="111" spans="1:2" x14ac:dyDescent="0.25">
      <c r="A111" t="s">
        <v>52</v>
      </c>
      <c r="B111">
        <v>0.94043699999999997</v>
      </c>
    </row>
    <row r="112" spans="1:2" x14ac:dyDescent="0.25">
      <c r="A112" t="s">
        <v>53</v>
      </c>
      <c r="B112">
        <v>4.1502999999999998E-2</v>
      </c>
    </row>
    <row r="113" spans="1:3" x14ac:dyDescent="0.25">
      <c r="A113" t="s">
        <v>54</v>
      </c>
      <c r="B113">
        <v>0.136158</v>
      </c>
    </row>
    <row r="114" spans="1:3" x14ac:dyDescent="0.25">
      <c r="A114" t="s">
        <v>55</v>
      </c>
      <c r="B114">
        <v>4.5043E-2</v>
      </c>
    </row>
    <row r="115" spans="1:3" x14ac:dyDescent="0.25">
      <c r="A115" t="s">
        <v>56</v>
      </c>
      <c r="B115">
        <v>0.60284000000000004</v>
      </c>
    </row>
    <row r="117" spans="1:3" x14ac:dyDescent="0.25">
      <c r="A117" t="s">
        <v>60</v>
      </c>
    </row>
    <row r="118" spans="1:3" x14ac:dyDescent="0.25">
      <c r="B118" t="s">
        <v>14</v>
      </c>
    </row>
    <row r="119" spans="1:3" x14ac:dyDescent="0.25">
      <c r="A119" t="s">
        <v>0</v>
      </c>
      <c r="B119">
        <f>B61-B3</f>
        <v>2.0790000000000001E-3</v>
      </c>
      <c r="C119">
        <f>MAX(0,B119)</f>
        <v>2.0790000000000001E-3</v>
      </c>
    </row>
    <row r="120" spans="1:3" x14ac:dyDescent="0.25">
      <c r="A120" t="s">
        <v>1</v>
      </c>
      <c r="B120">
        <f t="shared" ref="B120:B173" si="0">B62-B4</f>
        <v>-7.3799999999999994E-4</v>
      </c>
      <c r="C120">
        <f t="shared" ref="C120:C173" si="1">MAX(0,B120)</f>
        <v>0</v>
      </c>
    </row>
    <row r="121" spans="1:3" x14ac:dyDescent="0.25">
      <c r="A121" t="s">
        <v>2</v>
      </c>
      <c r="B121">
        <f t="shared" si="0"/>
        <v>1.4469999999999999E-3</v>
      </c>
      <c r="C121">
        <f t="shared" si="1"/>
        <v>1.4469999999999999E-3</v>
      </c>
    </row>
    <row r="122" spans="1:3" x14ac:dyDescent="0.25">
      <c r="A122" t="s">
        <v>3</v>
      </c>
      <c r="B122">
        <f t="shared" si="0"/>
        <v>7.3700000000000068E-4</v>
      </c>
      <c r="C122">
        <f t="shared" si="1"/>
        <v>7.3700000000000068E-4</v>
      </c>
    </row>
    <row r="123" spans="1:3" x14ac:dyDescent="0.25">
      <c r="A123" t="s">
        <v>4</v>
      </c>
      <c r="B123">
        <f t="shared" si="0"/>
        <v>-9.800000000000004E-4</v>
      </c>
      <c r="C123">
        <f t="shared" si="1"/>
        <v>0</v>
      </c>
    </row>
    <row r="124" spans="1:3" x14ac:dyDescent="0.25">
      <c r="A124" t="s">
        <v>5</v>
      </c>
      <c r="B124">
        <f t="shared" si="0"/>
        <v>-1.3699999999999999E-3</v>
      </c>
      <c r="C124">
        <f t="shared" si="1"/>
        <v>0</v>
      </c>
    </row>
    <row r="125" spans="1:3" x14ac:dyDescent="0.25">
      <c r="A125" t="s">
        <v>6</v>
      </c>
      <c r="B125">
        <f t="shared" si="0"/>
        <v>-8.0299999999999989E-4</v>
      </c>
      <c r="C125">
        <f t="shared" si="1"/>
        <v>0</v>
      </c>
    </row>
    <row r="126" spans="1:3" x14ac:dyDescent="0.25">
      <c r="A126" t="s">
        <v>7</v>
      </c>
      <c r="B126">
        <f t="shared" si="0"/>
        <v>6.6500000000000001E-4</v>
      </c>
      <c r="C126">
        <f t="shared" si="1"/>
        <v>6.6500000000000001E-4</v>
      </c>
    </row>
    <row r="127" spans="1:3" x14ac:dyDescent="0.25">
      <c r="A127" t="s">
        <v>8</v>
      </c>
      <c r="B127">
        <f t="shared" si="0"/>
        <v>3.3300000000000007E-4</v>
      </c>
      <c r="C127">
        <f t="shared" si="1"/>
        <v>3.3300000000000007E-4</v>
      </c>
    </row>
    <row r="128" spans="1:3" x14ac:dyDescent="0.25">
      <c r="A128" t="s">
        <v>9</v>
      </c>
      <c r="B128">
        <f t="shared" si="0"/>
        <v>-2.2700000000000003E-3</v>
      </c>
      <c r="C128">
        <f t="shared" si="1"/>
        <v>0</v>
      </c>
    </row>
    <row r="129" spans="1:3" x14ac:dyDescent="0.25">
      <c r="A129" t="s">
        <v>10</v>
      </c>
      <c r="B129">
        <f t="shared" si="0"/>
        <v>2.843E-3</v>
      </c>
      <c r="C129">
        <f t="shared" si="1"/>
        <v>2.843E-3</v>
      </c>
    </row>
    <row r="130" spans="1:3" x14ac:dyDescent="0.25">
      <c r="A130" t="s">
        <v>11</v>
      </c>
      <c r="B130">
        <f t="shared" si="0"/>
        <v>1.7923000000000001E-2</v>
      </c>
      <c r="C130">
        <f t="shared" si="1"/>
        <v>1.7923000000000001E-2</v>
      </c>
    </row>
    <row r="131" spans="1:3" x14ac:dyDescent="0.25">
      <c r="A131" t="s">
        <v>12</v>
      </c>
      <c r="B131">
        <f t="shared" si="0"/>
        <v>-6.3600000000000006E-4</v>
      </c>
      <c r="C131">
        <f t="shared" si="1"/>
        <v>0</v>
      </c>
    </row>
    <row r="132" spans="1:3" x14ac:dyDescent="0.25">
      <c r="A132" t="s">
        <v>15</v>
      </c>
      <c r="B132">
        <f t="shared" si="0"/>
        <v>-6.3600000000000006E-4</v>
      </c>
      <c r="C132">
        <f t="shared" si="1"/>
        <v>0</v>
      </c>
    </row>
    <row r="133" spans="1:3" x14ac:dyDescent="0.25">
      <c r="A133" t="s">
        <v>16</v>
      </c>
      <c r="B133">
        <f t="shared" si="0"/>
        <v>8.4499999999999994E-4</v>
      </c>
      <c r="C133">
        <f t="shared" si="1"/>
        <v>8.4499999999999994E-4</v>
      </c>
    </row>
    <row r="134" spans="1:3" x14ac:dyDescent="0.25">
      <c r="A134" t="s">
        <v>17</v>
      </c>
      <c r="B134">
        <f t="shared" si="0"/>
        <v>-6.3299999999999988E-4</v>
      </c>
      <c r="C134">
        <f t="shared" si="1"/>
        <v>0</v>
      </c>
    </row>
    <row r="135" spans="1:3" x14ac:dyDescent="0.25">
      <c r="A135" t="s">
        <v>18</v>
      </c>
      <c r="B135">
        <f t="shared" si="0"/>
        <v>2.6969999999999997E-3</v>
      </c>
      <c r="C135">
        <f t="shared" si="1"/>
        <v>2.6969999999999997E-3</v>
      </c>
    </row>
    <row r="136" spans="1:3" x14ac:dyDescent="0.25">
      <c r="A136" t="s">
        <v>19</v>
      </c>
      <c r="B136">
        <f t="shared" si="0"/>
        <v>2.48E-3</v>
      </c>
      <c r="C136">
        <f t="shared" si="1"/>
        <v>2.48E-3</v>
      </c>
    </row>
    <row r="137" spans="1:3" x14ac:dyDescent="0.25">
      <c r="A137" t="s">
        <v>20</v>
      </c>
      <c r="B137">
        <f t="shared" si="0"/>
        <v>-8.4500000000000005E-4</v>
      </c>
      <c r="C137">
        <f t="shared" si="1"/>
        <v>0</v>
      </c>
    </row>
    <row r="138" spans="1:3" x14ac:dyDescent="0.25">
      <c r="A138" t="s">
        <v>21</v>
      </c>
      <c r="B138">
        <f t="shared" si="0"/>
        <v>1.196E-3</v>
      </c>
      <c r="C138">
        <f t="shared" si="1"/>
        <v>1.196E-3</v>
      </c>
    </row>
    <row r="139" spans="1:3" x14ac:dyDescent="0.25">
      <c r="A139" t="s">
        <v>22</v>
      </c>
      <c r="B139">
        <f t="shared" si="0"/>
        <v>2.9649E-4</v>
      </c>
      <c r="C139">
        <f t="shared" si="1"/>
        <v>2.9649E-4</v>
      </c>
    </row>
    <row r="140" spans="1:3" x14ac:dyDescent="0.25">
      <c r="A140" t="s">
        <v>23</v>
      </c>
      <c r="B140">
        <f t="shared" si="0"/>
        <v>-9.325E-3</v>
      </c>
      <c r="C140">
        <f t="shared" si="1"/>
        <v>0</v>
      </c>
    </row>
    <row r="141" spans="1:3" x14ac:dyDescent="0.25">
      <c r="A141" t="s">
        <v>24</v>
      </c>
      <c r="B141">
        <f t="shared" si="0"/>
        <v>1.013E-3</v>
      </c>
      <c r="C141">
        <f t="shared" si="1"/>
        <v>1.013E-3</v>
      </c>
    </row>
    <row r="142" spans="1:3" x14ac:dyDescent="0.25">
      <c r="A142" t="s">
        <v>25</v>
      </c>
      <c r="B142">
        <f t="shared" si="0"/>
        <v>-3.2900000000000004E-3</v>
      </c>
      <c r="C142">
        <f t="shared" si="1"/>
        <v>0</v>
      </c>
    </row>
    <row r="143" spans="1:3" x14ac:dyDescent="0.25">
      <c r="A143" t="s">
        <v>26</v>
      </c>
      <c r="B143">
        <f t="shared" si="0"/>
        <v>3.398E-3</v>
      </c>
      <c r="C143">
        <f t="shared" si="1"/>
        <v>3.398E-3</v>
      </c>
    </row>
    <row r="144" spans="1:3" x14ac:dyDescent="0.25">
      <c r="A144" t="s">
        <v>27</v>
      </c>
      <c r="B144">
        <f t="shared" si="0"/>
        <v>2.7070000000000002E-3</v>
      </c>
      <c r="C144">
        <f t="shared" si="1"/>
        <v>2.7070000000000002E-3</v>
      </c>
    </row>
    <row r="145" spans="1:3" x14ac:dyDescent="0.25">
      <c r="A145" t="s">
        <v>28</v>
      </c>
      <c r="B145">
        <f t="shared" si="0"/>
        <v>-9.0299999999999998E-3</v>
      </c>
      <c r="C145">
        <f t="shared" si="1"/>
        <v>0</v>
      </c>
    </row>
    <row r="146" spans="1:3" x14ac:dyDescent="0.25">
      <c r="A146" t="s">
        <v>29</v>
      </c>
      <c r="B146">
        <f t="shared" si="0"/>
        <v>-7.6670000000000002E-3</v>
      </c>
      <c r="C146">
        <f t="shared" si="1"/>
        <v>0</v>
      </c>
    </row>
    <row r="147" spans="1:3" x14ac:dyDescent="0.25">
      <c r="A147" t="s">
        <v>30</v>
      </c>
      <c r="B147">
        <f t="shared" si="0"/>
        <v>4.1999999999999997E-3</v>
      </c>
      <c r="C147">
        <f t="shared" si="1"/>
        <v>4.1999999999999997E-3</v>
      </c>
    </row>
    <row r="148" spans="1:3" x14ac:dyDescent="0.25">
      <c r="A148" t="s">
        <v>31</v>
      </c>
      <c r="B148">
        <f t="shared" si="0"/>
        <v>-5.1500000000000001E-3</v>
      </c>
      <c r="C148">
        <f t="shared" si="1"/>
        <v>0</v>
      </c>
    </row>
    <row r="149" spans="1:3" x14ac:dyDescent="0.25">
      <c r="A149" t="s">
        <v>32</v>
      </c>
      <c r="B149">
        <f t="shared" si="0"/>
        <v>7.1999999999999994E-4</v>
      </c>
      <c r="C149">
        <f t="shared" si="1"/>
        <v>7.1999999999999994E-4</v>
      </c>
    </row>
    <row r="150" spans="1:3" x14ac:dyDescent="0.25">
      <c r="A150" t="s">
        <v>33</v>
      </c>
      <c r="B150">
        <f t="shared" si="0"/>
        <v>-2.9299999999999999E-3</v>
      </c>
      <c r="C150">
        <f t="shared" si="1"/>
        <v>0</v>
      </c>
    </row>
    <row r="151" spans="1:3" x14ac:dyDescent="0.25">
      <c r="A151" t="s">
        <v>34</v>
      </c>
      <c r="B151">
        <f t="shared" si="0"/>
        <v>-6.2859999999999999E-3</v>
      </c>
      <c r="C151">
        <f t="shared" si="1"/>
        <v>0</v>
      </c>
    </row>
    <row r="152" spans="1:3" x14ac:dyDescent="0.25">
      <c r="A152" t="s">
        <v>35</v>
      </c>
      <c r="B152">
        <f t="shared" si="0"/>
        <v>-1.0582000000000001E-2</v>
      </c>
      <c r="C152">
        <f t="shared" si="1"/>
        <v>0</v>
      </c>
    </row>
    <row r="153" spans="1:3" x14ac:dyDescent="0.25">
      <c r="A153" t="s">
        <v>36</v>
      </c>
      <c r="B153">
        <f t="shared" si="0"/>
        <v>-4.8570000000000002E-3</v>
      </c>
      <c r="C153">
        <f t="shared" si="1"/>
        <v>0</v>
      </c>
    </row>
    <row r="154" spans="1:3" x14ac:dyDescent="0.25">
      <c r="A154" t="s">
        <v>37</v>
      </c>
      <c r="B154">
        <f t="shared" si="0"/>
        <v>5.2090000000000004E-2</v>
      </c>
      <c r="C154">
        <f t="shared" si="1"/>
        <v>5.2090000000000004E-2</v>
      </c>
    </row>
    <row r="155" spans="1:3" x14ac:dyDescent="0.25">
      <c r="A155" t="s">
        <v>38</v>
      </c>
      <c r="B155">
        <f t="shared" si="0"/>
        <v>-1.0405000000000001E-2</v>
      </c>
      <c r="C155">
        <f t="shared" si="1"/>
        <v>0</v>
      </c>
    </row>
    <row r="156" spans="1:3" x14ac:dyDescent="0.25">
      <c r="A156" t="s">
        <v>39</v>
      </c>
      <c r="B156">
        <f t="shared" si="0"/>
        <v>-1.624E-3</v>
      </c>
      <c r="C156">
        <f t="shared" si="1"/>
        <v>0</v>
      </c>
    </row>
    <row r="157" spans="1:3" x14ac:dyDescent="0.25">
      <c r="A157" t="s">
        <v>40</v>
      </c>
      <c r="B157">
        <f t="shared" si="0"/>
        <v>-9.0329999999999994E-3</v>
      </c>
      <c r="C157">
        <f t="shared" si="1"/>
        <v>0</v>
      </c>
    </row>
    <row r="158" spans="1:3" x14ac:dyDescent="0.25">
      <c r="A158" t="s">
        <v>41</v>
      </c>
      <c r="B158">
        <f t="shared" si="0"/>
        <v>-3.6909999999999998E-3</v>
      </c>
      <c r="C158">
        <f t="shared" si="1"/>
        <v>0</v>
      </c>
    </row>
    <row r="159" spans="1:3" x14ac:dyDescent="0.25">
      <c r="A159" t="s">
        <v>42</v>
      </c>
      <c r="B159">
        <f t="shared" si="0"/>
        <v>-5.0080000000000003E-3</v>
      </c>
      <c r="C159">
        <f t="shared" si="1"/>
        <v>0</v>
      </c>
    </row>
    <row r="160" spans="1:3" x14ac:dyDescent="0.25">
      <c r="A160" t="s">
        <v>43</v>
      </c>
      <c r="B160">
        <f t="shared" si="0"/>
        <v>2.7530000000000002E-3</v>
      </c>
      <c r="C160">
        <f t="shared" si="1"/>
        <v>2.7530000000000002E-3</v>
      </c>
    </row>
    <row r="161" spans="1:3" x14ac:dyDescent="0.25">
      <c r="A161" t="s">
        <v>44</v>
      </c>
      <c r="B161">
        <f t="shared" si="0"/>
        <v>-4.3059999999999999E-3</v>
      </c>
      <c r="C161">
        <f t="shared" si="1"/>
        <v>0</v>
      </c>
    </row>
    <row r="162" spans="1:3" x14ac:dyDescent="0.25">
      <c r="A162" t="s">
        <v>45</v>
      </c>
      <c r="B162">
        <f t="shared" si="0"/>
        <v>-3.9109999999999995E-3</v>
      </c>
      <c r="C162">
        <f t="shared" si="1"/>
        <v>0</v>
      </c>
    </row>
    <row r="163" spans="1:3" x14ac:dyDescent="0.25">
      <c r="A163" t="s">
        <v>46</v>
      </c>
      <c r="B163">
        <f t="shared" si="0"/>
        <v>-1.1559E-2</v>
      </c>
      <c r="C163">
        <f t="shared" si="1"/>
        <v>0</v>
      </c>
    </row>
    <row r="164" spans="1:3" x14ac:dyDescent="0.25">
      <c r="A164" t="s">
        <v>47</v>
      </c>
      <c r="B164">
        <f t="shared" si="0"/>
        <v>-6.6960000000000006E-3</v>
      </c>
      <c r="C164">
        <f t="shared" si="1"/>
        <v>0</v>
      </c>
    </row>
    <row r="165" spans="1:3" x14ac:dyDescent="0.25">
      <c r="A165" t="s">
        <v>48</v>
      </c>
      <c r="B165">
        <f t="shared" si="0"/>
        <v>-3.8569999999999998E-3</v>
      </c>
      <c r="C165">
        <f t="shared" si="1"/>
        <v>0</v>
      </c>
    </row>
    <row r="166" spans="1:3" x14ac:dyDescent="0.25">
      <c r="A166" t="s">
        <v>49</v>
      </c>
      <c r="B166">
        <f t="shared" si="0"/>
        <v>3.9850000000000007E-3</v>
      </c>
      <c r="C166">
        <f t="shared" si="1"/>
        <v>3.9850000000000007E-3</v>
      </c>
    </row>
    <row r="167" spans="1:3" x14ac:dyDescent="0.25">
      <c r="A167" t="s">
        <v>50</v>
      </c>
      <c r="B167">
        <f t="shared" si="0"/>
        <v>2.7272999999999992E-2</v>
      </c>
      <c r="C167">
        <f t="shared" si="1"/>
        <v>2.7272999999999992E-2</v>
      </c>
    </row>
    <row r="168" spans="1:3" x14ac:dyDescent="0.25">
      <c r="A168" t="s">
        <v>51</v>
      </c>
      <c r="B168">
        <f t="shared" si="0"/>
        <v>0.14417999999999997</v>
      </c>
      <c r="C168">
        <f t="shared" si="1"/>
        <v>0.14417999999999997</v>
      </c>
    </row>
    <row r="169" spans="1:3" x14ac:dyDescent="0.25">
      <c r="A169" t="s">
        <v>52</v>
      </c>
      <c r="B169">
        <f t="shared" si="0"/>
        <v>0.67445299999999997</v>
      </c>
      <c r="C169">
        <f t="shared" si="1"/>
        <v>0.67445299999999997</v>
      </c>
    </row>
    <row r="170" spans="1:3" x14ac:dyDescent="0.25">
      <c r="A170" t="s">
        <v>53</v>
      </c>
      <c r="B170">
        <f t="shared" si="0"/>
        <v>4.5052999999999996E-2</v>
      </c>
      <c r="C170">
        <f t="shared" si="1"/>
        <v>4.5052999999999996E-2</v>
      </c>
    </row>
    <row r="171" spans="1:3" x14ac:dyDescent="0.25">
      <c r="A171" t="s">
        <v>54</v>
      </c>
      <c r="B171">
        <f t="shared" si="0"/>
        <v>0.115646</v>
      </c>
      <c r="C171">
        <f t="shared" si="1"/>
        <v>0.115646</v>
      </c>
    </row>
    <row r="172" spans="1:3" x14ac:dyDescent="0.25">
      <c r="A172" t="s">
        <v>55</v>
      </c>
      <c r="B172">
        <f t="shared" si="0"/>
        <v>5.3762999999999998E-2</v>
      </c>
      <c r="C172">
        <f t="shared" si="1"/>
        <v>5.3762999999999998E-2</v>
      </c>
    </row>
    <row r="173" spans="1:3" x14ac:dyDescent="0.25">
      <c r="A173" t="s">
        <v>56</v>
      </c>
      <c r="B173">
        <f t="shared" si="0"/>
        <v>0.57568200000000003</v>
      </c>
      <c r="C173">
        <f t="shared" si="1"/>
        <v>0.57568200000000003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ACDA-3BE3-4B74-86FF-1C8E207611A3}">
  <dimension ref="A1:K55"/>
  <sheetViews>
    <sheetView topLeftCell="A16" workbookViewId="0">
      <selection activeCell="I51" sqref="I51:I55"/>
    </sheetView>
  </sheetViews>
  <sheetFormatPr defaultRowHeight="15" x14ac:dyDescent="0.25"/>
  <sheetData>
    <row r="1" spans="1:5" x14ac:dyDescent="0.25">
      <c r="A1" t="s">
        <v>45</v>
      </c>
      <c r="B1">
        <v>2.4610000000000001E-3</v>
      </c>
      <c r="C1">
        <v>0</v>
      </c>
      <c r="D1" t="s">
        <v>59</v>
      </c>
      <c r="E1" t="s">
        <v>62</v>
      </c>
    </row>
    <row r="2" spans="1:5" x14ac:dyDescent="0.25">
      <c r="A2" t="s">
        <v>46</v>
      </c>
      <c r="B2">
        <v>3.6289999999999998E-3</v>
      </c>
      <c r="C2">
        <v>0</v>
      </c>
      <c r="D2" t="s">
        <v>59</v>
      </c>
      <c r="E2" t="s">
        <v>75</v>
      </c>
    </row>
    <row r="3" spans="1:5" x14ac:dyDescent="0.25">
      <c r="A3" t="s">
        <v>47</v>
      </c>
      <c r="B3">
        <v>2.8760000000000001E-3</v>
      </c>
      <c r="C3">
        <v>0</v>
      </c>
      <c r="D3" t="s">
        <v>59</v>
      </c>
      <c r="E3" t="s">
        <v>76</v>
      </c>
    </row>
    <row r="4" spans="1:5" x14ac:dyDescent="0.25">
      <c r="A4" t="s">
        <v>48</v>
      </c>
      <c r="B4">
        <v>4.4749999999999998E-3</v>
      </c>
      <c r="C4">
        <v>0</v>
      </c>
      <c r="D4" t="s">
        <v>59</v>
      </c>
      <c r="E4" t="s">
        <v>77</v>
      </c>
    </row>
    <row r="5" spans="1:5" x14ac:dyDescent="0.25">
      <c r="A5" t="s">
        <v>49</v>
      </c>
      <c r="B5">
        <v>7.6319999999999999E-3</v>
      </c>
      <c r="C5">
        <v>3.9850000000000007E-3</v>
      </c>
      <c r="D5" t="s">
        <v>59</v>
      </c>
      <c r="E5" t="s">
        <v>64</v>
      </c>
    </row>
    <row r="6" spans="1:5" x14ac:dyDescent="0.25">
      <c r="A6" t="s">
        <v>50</v>
      </c>
      <c r="B6">
        <v>4.3742000000000003E-2</v>
      </c>
      <c r="C6">
        <v>2.7272999999999992E-2</v>
      </c>
      <c r="D6" t="s">
        <v>59</v>
      </c>
      <c r="E6" t="s">
        <v>66</v>
      </c>
    </row>
    <row r="7" spans="1:5" x14ac:dyDescent="0.25">
      <c r="A7" t="s">
        <v>51</v>
      </c>
      <c r="B7">
        <v>7.8917000000000001E-2</v>
      </c>
      <c r="C7">
        <v>0.14417999999999997</v>
      </c>
      <c r="D7" t="s">
        <v>59</v>
      </c>
      <c r="E7" t="s">
        <v>67</v>
      </c>
    </row>
    <row r="8" spans="1:5" x14ac:dyDescent="0.25">
      <c r="A8" t="s">
        <v>52</v>
      </c>
      <c r="B8">
        <v>0.265984</v>
      </c>
      <c r="C8">
        <v>0.67445299999999997</v>
      </c>
      <c r="D8" t="s">
        <v>59</v>
      </c>
      <c r="E8" t="s">
        <v>68</v>
      </c>
    </row>
    <row r="9" spans="1:5" x14ac:dyDescent="0.25">
      <c r="A9" t="s">
        <v>53</v>
      </c>
      <c r="B9">
        <v>-3.5500000000000002E-3</v>
      </c>
      <c r="C9">
        <v>4.5052999999999996E-2</v>
      </c>
      <c r="D9" t="s">
        <v>59</v>
      </c>
      <c r="E9" t="s">
        <v>70</v>
      </c>
    </row>
    <row r="10" spans="1:5" x14ac:dyDescent="0.25">
      <c r="A10" t="s">
        <v>54</v>
      </c>
      <c r="B10">
        <v>2.0511999999999999E-2</v>
      </c>
      <c r="C10">
        <v>0.115646</v>
      </c>
      <c r="D10" t="s">
        <v>59</v>
      </c>
      <c r="E10" t="s">
        <v>71</v>
      </c>
    </row>
    <row r="11" spans="1:5" x14ac:dyDescent="0.25">
      <c r="A11" t="s">
        <v>55</v>
      </c>
      <c r="B11">
        <v>-8.7200000000000003E-3</v>
      </c>
      <c r="C11">
        <v>5.3762999999999998E-2</v>
      </c>
      <c r="D11" t="s">
        <v>59</v>
      </c>
      <c r="E11" t="s">
        <v>72</v>
      </c>
    </row>
    <row r="12" spans="1:5" x14ac:dyDescent="0.25">
      <c r="A12" t="s">
        <v>56</v>
      </c>
      <c r="B12">
        <v>2.7158000000000002E-2</v>
      </c>
      <c r="C12">
        <v>0.57568200000000003</v>
      </c>
      <c r="D12" t="s">
        <v>59</v>
      </c>
      <c r="E12" t="s">
        <v>73</v>
      </c>
    </row>
    <row r="13" spans="1:5" x14ac:dyDescent="0.25">
      <c r="A13" t="s">
        <v>33</v>
      </c>
      <c r="B13">
        <v>8.4000000000000003E-4</v>
      </c>
      <c r="C13">
        <v>0</v>
      </c>
      <c r="D13" t="s">
        <v>78</v>
      </c>
      <c r="E13" t="s">
        <v>64</v>
      </c>
    </row>
    <row r="14" spans="1:5" x14ac:dyDescent="0.25">
      <c r="A14" t="s">
        <v>36</v>
      </c>
      <c r="B14">
        <v>2.2269999999999998E-3</v>
      </c>
      <c r="C14">
        <v>0</v>
      </c>
      <c r="D14" t="s">
        <v>78</v>
      </c>
      <c r="E14" t="s">
        <v>67</v>
      </c>
    </row>
    <row r="15" spans="1:5" x14ac:dyDescent="0.25">
      <c r="A15" t="s">
        <v>38</v>
      </c>
      <c r="B15">
        <v>5.1050000000000002E-3</v>
      </c>
      <c r="C15">
        <v>0</v>
      </c>
      <c r="D15" t="s">
        <v>78</v>
      </c>
      <c r="E15" t="s">
        <v>68</v>
      </c>
    </row>
    <row r="16" spans="1:5" x14ac:dyDescent="0.25">
      <c r="A16" t="s">
        <v>42</v>
      </c>
      <c r="B16">
        <v>1.8979999999999999E-3</v>
      </c>
      <c r="C16">
        <v>0</v>
      </c>
      <c r="D16" t="s">
        <v>78</v>
      </c>
      <c r="E16" t="s">
        <v>72</v>
      </c>
    </row>
    <row r="17" spans="1:8" x14ac:dyDescent="0.25">
      <c r="A17" t="s">
        <v>44</v>
      </c>
      <c r="B17">
        <v>-1.84E-4</v>
      </c>
      <c r="C17">
        <v>0</v>
      </c>
      <c r="D17" t="s">
        <v>78</v>
      </c>
      <c r="E17" t="s">
        <v>73</v>
      </c>
    </row>
    <row r="18" spans="1:8" x14ac:dyDescent="0.25">
      <c r="A18" t="s">
        <v>28</v>
      </c>
      <c r="B18">
        <v>3.5100000000000001E-3</v>
      </c>
      <c r="C18">
        <v>0</v>
      </c>
      <c r="D18" t="s">
        <v>74</v>
      </c>
      <c r="E18" t="s">
        <v>62</v>
      </c>
    </row>
    <row r="19" spans="1:8" x14ac:dyDescent="0.25">
      <c r="A19" t="s">
        <v>29</v>
      </c>
      <c r="B19">
        <v>3.3969999999999998E-3</v>
      </c>
      <c r="C19">
        <v>0</v>
      </c>
      <c r="D19" t="s">
        <v>74</v>
      </c>
      <c r="E19" t="s">
        <v>75</v>
      </c>
    </row>
    <row r="20" spans="1:8" x14ac:dyDescent="0.25">
      <c r="A20" t="s">
        <v>30</v>
      </c>
      <c r="B20">
        <v>-5.6699999999999997E-3</v>
      </c>
      <c r="C20">
        <v>4.1999999999999997E-3</v>
      </c>
      <c r="D20" t="s">
        <v>74</v>
      </c>
      <c r="E20" t="s">
        <v>76</v>
      </c>
    </row>
    <row r="21" spans="1:8" x14ac:dyDescent="0.25">
      <c r="A21" t="s">
        <v>31</v>
      </c>
      <c r="B21">
        <v>2.8500000000000001E-3</v>
      </c>
      <c r="C21">
        <v>0</v>
      </c>
      <c r="D21" t="s">
        <v>74</v>
      </c>
      <c r="E21" t="s">
        <v>77</v>
      </c>
      <c r="H21" s="1"/>
    </row>
    <row r="22" spans="1:8" x14ac:dyDescent="0.25">
      <c r="A22" t="s">
        <v>32</v>
      </c>
      <c r="B22">
        <v>-2.4599999999999999E-3</v>
      </c>
      <c r="C22">
        <v>7.1999999999999994E-4</v>
      </c>
      <c r="D22" t="s">
        <v>74</v>
      </c>
      <c r="E22" t="s">
        <v>64</v>
      </c>
    </row>
    <row r="23" spans="1:8" x14ac:dyDescent="0.25">
      <c r="A23" t="s">
        <v>34</v>
      </c>
      <c r="B23">
        <v>2.016E-3</v>
      </c>
      <c r="C23">
        <v>0</v>
      </c>
      <c r="D23" t="s">
        <v>74</v>
      </c>
      <c r="E23" t="s">
        <v>66</v>
      </c>
    </row>
    <row r="24" spans="1:8" x14ac:dyDescent="0.25">
      <c r="A24" t="s">
        <v>35</v>
      </c>
      <c r="B24">
        <v>3.8419999999999999E-3</v>
      </c>
      <c r="C24">
        <v>0</v>
      </c>
      <c r="D24" t="s">
        <v>74</v>
      </c>
      <c r="E24" t="s">
        <v>67</v>
      </c>
    </row>
    <row r="25" spans="1:8" x14ac:dyDescent="0.25">
      <c r="A25" t="s">
        <v>37</v>
      </c>
      <c r="B25">
        <v>1.1261E-2</v>
      </c>
      <c r="C25">
        <v>5.2090000000000004E-2</v>
      </c>
      <c r="D25" t="s">
        <v>74</v>
      </c>
      <c r="E25" t="s">
        <v>68</v>
      </c>
    </row>
    <row r="26" spans="1:8" x14ac:dyDescent="0.25">
      <c r="A26" t="s">
        <v>39</v>
      </c>
      <c r="B26">
        <v>-7.36E-4</v>
      </c>
      <c r="C26">
        <v>0</v>
      </c>
      <c r="D26" t="s">
        <v>74</v>
      </c>
      <c r="E26" t="s">
        <v>70</v>
      </c>
    </row>
    <row r="27" spans="1:8" x14ac:dyDescent="0.25">
      <c r="A27" t="s">
        <v>40</v>
      </c>
      <c r="B27">
        <v>7.5030000000000001E-3</v>
      </c>
      <c r="C27">
        <v>0</v>
      </c>
      <c r="D27" t="s">
        <v>74</v>
      </c>
      <c r="E27" t="s">
        <v>71</v>
      </c>
    </row>
    <row r="28" spans="1:8" x14ac:dyDescent="0.25">
      <c r="A28" t="s">
        <v>41</v>
      </c>
      <c r="B28" s="1">
        <v>-8.8999999999999995E-5</v>
      </c>
      <c r="C28">
        <v>0</v>
      </c>
      <c r="D28" t="s">
        <v>74</v>
      </c>
      <c r="E28" t="s">
        <v>72</v>
      </c>
    </row>
    <row r="29" spans="1:8" x14ac:dyDescent="0.25">
      <c r="A29" t="s">
        <v>43</v>
      </c>
      <c r="B29">
        <v>9.5219999999999992E-3</v>
      </c>
      <c r="C29">
        <v>2.7530000000000002E-3</v>
      </c>
      <c r="D29" t="s">
        <v>74</v>
      </c>
      <c r="E29" t="s">
        <v>73</v>
      </c>
    </row>
    <row r="30" spans="1:8" x14ac:dyDescent="0.25">
      <c r="A30" t="s">
        <v>2</v>
      </c>
      <c r="B30">
        <v>-1.34E-3</v>
      </c>
      <c r="C30">
        <v>1.4469999999999999E-3</v>
      </c>
      <c r="D30" t="s">
        <v>65</v>
      </c>
      <c r="E30" t="s">
        <v>64</v>
      </c>
    </row>
    <row r="31" spans="1:8" x14ac:dyDescent="0.25">
      <c r="A31" t="s">
        <v>6</v>
      </c>
      <c r="B31">
        <v>1.2979999999999999E-3</v>
      </c>
      <c r="C31">
        <v>0</v>
      </c>
      <c r="D31" t="s">
        <v>65</v>
      </c>
      <c r="E31" t="s">
        <v>67</v>
      </c>
    </row>
    <row r="32" spans="1:8" x14ac:dyDescent="0.25">
      <c r="A32" t="s">
        <v>9</v>
      </c>
      <c r="B32">
        <v>-1.56E-3</v>
      </c>
      <c r="C32">
        <v>0</v>
      </c>
      <c r="D32" t="s">
        <v>65</v>
      </c>
      <c r="E32" t="s">
        <v>68</v>
      </c>
    </row>
    <row r="33" spans="1:11" x14ac:dyDescent="0.25">
      <c r="A33" t="s">
        <v>12</v>
      </c>
      <c r="B33">
        <v>-8.0400000000000003E-4</v>
      </c>
      <c r="C33">
        <v>0</v>
      </c>
      <c r="D33" t="s">
        <v>65</v>
      </c>
      <c r="E33" t="s">
        <v>70</v>
      </c>
    </row>
    <row r="34" spans="1:11" x14ac:dyDescent="0.25">
      <c r="A34" t="s">
        <v>18</v>
      </c>
      <c r="B34">
        <v>-6.1899999999999998E-4</v>
      </c>
      <c r="C34">
        <v>2.6969999999999997E-3</v>
      </c>
      <c r="D34" t="s">
        <v>65</v>
      </c>
      <c r="E34" t="s">
        <v>71</v>
      </c>
    </row>
    <row r="35" spans="1:11" x14ac:dyDescent="0.25">
      <c r="A35" t="s">
        <v>21</v>
      </c>
      <c r="B35">
        <v>-2.5399999999999999E-4</v>
      </c>
      <c r="C35">
        <v>1.196E-3</v>
      </c>
      <c r="D35" t="s">
        <v>65</v>
      </c>
      <c r="E35" t="s">
        <v>72</v>
      </c>
    </row>
    <row r="36" spans="1:11" x14ac:dyDescent="0.25">
      <c r="A36" t="s">
        <v>25</v>
      </c>
      <c r="B36">
        <v>1.2600000000000001E-3</v>
      </c>
      <c r="C36">
        <v>0</v>
      </c>
      <c r="D36" t="s">
        <v>65</v>
      </c>
      <c r="E36" t="s">
        <v>73</v>
      </c>
    </row>
    <row r="37" spans="1:11" x14ac:dyDescent="0.25">
      <c r="A37" t="s">
        <v>1</v>
      </c>
      <c r="B37">
        <v>2.777E-3</v>
      </c>
      <c r="C37">
        <v>0</v>
      </c>
      <c r="D37" t="s">
        <v>63</v>
      </c>
      <c r="E37" t="s">
        <v>64</v>
      </c>
    </row>
    <row r="38" spans="1:11" x14ac:dyDescent="0.25">
      <c r="A38" t="s">
        <v>5</v>
      </c>
      <c r="B38">
        <v>-1.39E-3</v>
      </c>
      <c r="C38">
        <v>0</v>
      </c>
      <c r="D38" t="s">
        <v>63</v>
      </c>
      <c r="E38" t="s">
        <v>67</v>
      </c>
    </row>
    <row r="39" spans="1:11" x14ac:dyDescent="0.25">
      <c r="A39" t="s">
        <v>8</v>
      </c>
      <c r="B39">
        <v>9.19E-4</v>
      </c>
      <c r="C39">
        <v>3.3300000000000007E-4</v>
      </c>
      <c r="D39" t="s">
        <v>63</v>
      </c>
      <c r="E39" t="s">
        <v>68</v>
      </c>
    </row>
    <row r="40" spans="1:11" x14ac:dyDescent="0.25">
      <c r="A40" t="s">
        <v>17</v>
      </c>
      <c r="B40">
        <v>1.4369999999999999E-3</v>
      </c>
      <c r="C40">
        <v>0</v>
      </c>
      <c r="D40" t="s">
        <v>63</v>
      </c>
      <c r="E40" t="s">
        <v>71</v>
      </c>
    </row>
    <row r="41" spans="1:11" x14ac:dyDescent="0.25">
      <c r="A41" t="s">
        <v>24</v>
      </c>
      <c r="B41">
        <v>-1.6800000000000001E-3</v>
      </c>
      <c r="C41">
        <v>1.013E-3</v>
      </c>
      <c r="D41" t="s">
        <v>63</v>
      </c>
      <c r="E41" t="s">
        <v>73</v>
      </c>
    </row>
    <row r="42" spans="1:11" x14ac:dyDescent="0.25">
      <c r="A42" t="s">
        <v>10</v>
      </c>
      <c r="B42">
        <v>-1.0399999999999999E-4</v>
      </c>
      <c r="C42">
        <v>2.843E-3</v>
      </c>
      <c r="D42" t="s">
        <v>69</v>
      </c>
      <c r="E42" t="s">
        <v>68</v>
      </c>
    </row>
    <row r="43" spans="1:11" x14ac:dyDescent="0.25">
      <c r="A43" t="s">
        <v>15</v>
      </c>
      <c r="B43">
        <v>-8.0400000000000003E-4</v>
      </c>
      <c r="C43">
        <v>0</v>
      </c>
      <c r="D43" t="s">
        <v>69</v>
      </c>
      <c r="E43" t="s">
        <v>70</v>
      </c>
    </row>
    <row r="44" spans="1:11" x14ac:dyDescent="0.25">
      <c r="A44" t="s">
        <v>19</v>
      </c>
      <c r="B44">
        <v>-2.1900000000000001E-3</v>
      </c>
      <c r="C44">
        <v>2.48E-3</v>
      </c>
      <c r="D44" t="s">
        <v>69</v>
      </c>
      <c r="E44" t="s">
        <v>71</v>
      </c>
      <c r="H44" s="1"/>
    </row>
    <row r="45" spans="1:11" x14ac:dyDescent="0.25">
      <c r="A45" t="s">
        <v>22</v>
      </c>
      <c r="B45" s="1">
        <v>-6.4899999999999997E-6</v>
      </c>
      <c r="C45">
        <v>2.9649E-4</v>
      </c>
      <c r="D45" t="s">
        <v>69</v>
      </c>
      <c r="E45" t="s">
        <v>72</v>
      </c>
    </row>
    <row r="46" spans="1:11" x14ac:dyDescent="0.25">
      <c r="A46" t="s">
        <v>26</v>
      </c>
      <c r="B46">
        <v>-2E-3</v>
      </c>
      <c r="C46">
        <v>3.398E-3</v>
      </c>
      <c r="D46" t="s">
        <v>69</v>
      </c>
      <c r="E46" t="s">
        <v>73</v>
      </c>
    </row>
    <row r="47" spans="1:11" x14ac:dyDescent="0.25">
      <c r="A47" t="s">
        <v>0</v>
      </c>
      <c r="B47">
        <v>-1.06E-3</v>
      </c>
      <c r="C47">
        <v>2.0790000000000001E-3</v>
      </c>
      <c r="D47" t="s">
        <v>61</v>
      </c>
      <c r="E47" t="s">
        <v>62</v>
      </c>
      <c r="G47" t="s">
        <v>0</v>
      </c>
      <c r="H47">
        <v>-1.06E-3</v>
      </c>
      <c r="I47">
        <v>2.0790000000000001E-3</v>
      </c>
      <c r="J47" t="s">
        <v>61</v>
      </c>
      <c r="K47" t="s">
        <v>62</v>
      </c>
    </row>
    <row r="48" spans="1:11" x14ac:dyDescent="0.25">
      <c r="A48" t="s">
        <v>3</v>
      </c>
      <c r="B48">
        <v>5.3749999999999996E-3</v>
      </c>
      <c r="C48">
        <v>7.3700000000000068E-4</v>
      </c>
      <c r="D48" t="s">
        <v>61</v>
      </c>
      <c r="E48" t="s">
        <v>64</v>
      </c>
      <c r="G48" t="s">
        <v>27</v>
      </c>
      <c r="H48">
        <v>4.1609999999999998E-3</v>
      </c>
      <c r="I48">
        <v>2.7070000000000002E-3</v>
      </c>
      <c r="J48" t="s">
        <v>61</v>
      </c>
      <c r="K48" t="s">
        <v>73</v>
      </c>
    </row>
    <row r="49" spans="1:11" x14ac:dyDescent="0.25">
      <c r="A49" t="s">
        <v>4</v>
      </c>
      <c r="B49">
        <v>-2.7399999999999998E-3</v>
      </c>
      <c r="C49">
        <v>0</v>
      </c>
      <c r="D49" t="s">
        <v>61</v>
      </c>
      <c r="E49" t="s">
        <v>66</v>
      </c>
      <c r="G49" t="s">
        <v>16</v>
      </c>
      <c r="H49">
        <v>-1.39E-3</v>
      </c>
      <c r="I49">
        <v>8.4499999999999994E-4</v>
      </c>
      <c r="J49" t="s">
        <v>61</v>
      </c>
      <c r="K49" t="s">
        <v>70</v>
      </c>
    </row>
    <row r="50" spans="1:11" x14ac:dyDescent="0.25">
      <c r="A50" t="s">
        <v>7</v>
      </c>
      <c r="B50">
        <v>-9.0899999999999998E-4</v>
      </c>
      <c r="C50">
        <v>6.6500000000000001E-4</v>
      </c>
      <c r="D50" t="s">
        <v>61</v>
      </c>
      <c r="E50" t="s">
        <v>67</v>
      </c>
      <c r="G50" t="s">
        <v>23</v>
      </c>
      <c r="H50">
        <v>4.3750000000000004E-3</v>
      </c>
      <c r="I50">
        <v>0</v>
      </c>
      <c r="J50" t="s">
        <v>61</v>
      </c>
      <c r="K50" t="s">
        <v>72</v>
      </c>
    </row>
    <row r="51" spans="1:11" x14ac:dyDescent="0.25">
      <c r="A51" t="s">
        <v>11</v>
      </c>
      <c r="B51">
        <v>-1.2500000000000001E-2</v>
      </c>
      <c r="C51">
        <v>1.7923000000000001E-2</v>
      </c>
      <c r="D51" t="s">
        <v>61</v>
      </c>
      <c r="E51" t="s">
        <v>68</v>
      </c>
      <c r="G51" t="s">
        <v>3</v>
      </c>
      <c r="H51">
        <v>5.3749999999999996E-3</v>
      </c>
      <c r="I51">
        <v>7.3700000000000068E-4</v>
      </c>
      <c r="J51" t="s">
        <v>61</v>
      </c>
      <c r="K51" t="s">
        <v>64</v>
      </c>
    </row>
    <row r="52" spans="1:11" x14ac:dyDescent="0.25">
      <c r="A52" t="s">
        <v>16</v>
      </c>
      <c r="B52">
        <v>-1.39E-3</v>
      </c>
      <c r="C52">
        <v>8.4499999999999994E-4</v>
      </c>
      <c r="D52" t="s">
        <v>61</v>
      </c>
      <c r="E52" t="s">
        <v>70</v>
      </c>
      <c r="G52" t="s">
        <v>4</v>
      </c>
      <c r="H52">
        <v>-2.7399999999999998E-3</v>
      </c>
      <c r="I52">
        <v>0</v>
      </c>
      <c r="J52" t="s">
        <v>61</v>
      </c>
      <c r="K52" t="s">
        <v>66</v>
      </c>
    </row>
    <row r="53" spans="1:11" x14ac:dyDescent="0.25">
      <c r="A53" t="s">
        <v>20</v>
      </c>
      <c r="B53">
        <v>6.02E-4</v>
      </c>
      <c r="C53">
        <v>0</v>
      </c>
      <c r="D53" t="s">
        <v>61</v>
      </c>
      <c r="E53" t="s">
        <v>71</v>
      </c>
      <c r="G53" t="s">
        <v>7</v>
      </c>
      <c r="H53">
        <v>-9.0899999999999998E-4</v>
      </c>
      <c r="I53">
        <v>6.6500000000000001E-4</v>
      </c>
      <c r="J53" t="s">
        <v>61</v>
      </c>
      <c r="K53" t="s">
        <v>67</v>
      </c>
    </row>
    <row r="54" spans="1:11" x14ac:dyDescent="0.25">
      <c r="A54" t="s">
        <v>23</v>
      </c>
      <c r="B54">
        <v>4.3750000000000004E-3</v>
      </c>
      <c r="C54">
        <v>0</v>
      </c>
      <c r="D54" t="s">
        <v>61</v>
      </c>
      <c r="E54" t="s">
        <v>72</v>
      </c>
      <c r="G54" t="s">
        <v>11</v>
      </c>
      <c r="H54">
        <v>-1.2500000000000001E-2</v>
      </c>
      <c r="I54">
        <v>1.7923000000000001E-2</v>
      </c>
      <c r="J54" t="s">
        <v>61</v>
      </c>
      <c r="K54" t="s">
        <v>68</v>
      </c>
    </row>
    <row r="55" spans="1:11" x14ac:dyDescent="0.25">
      <c r="A55" t="s">
        <v>27</v>
      </c>
      <c r="B55">
        <v>4.1609999999999998E-3</v>
      </c>
      <c r="C55">
        <v>2.7070000000000002E-3</v>
      </c>
      <c r="D55" t="s">
        <v>61</v>
      </c>
      <c r="E55" t="s">
        <v>73</v>
      </c>
      <c r="G55" t="s">
        <v>20</v>
      </c>
      <c r="H55">
        <v>6.02E-4</v>
      </c>
      <c r="I55">
        <v>0</v>
      </c>
      <c r="J55" t="s">
        <v>61</v>
      </c>
      <c r="K55" t="s">
        <v>71</v>
      </c>
    </row>
  </sheetData>
  <sortState xmlns:xlrd2="http://schemas.microsoft.com/office/spreadsheetml/2017/richdata2" ref="G47:K55">
    <sortCondition ref="K47:K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31BA-195C-4ECD-BCD3-BDA96E1813E8}">
  <dimension ref="A1:Q32"/>
  <sheetViews>
    <sheetView tabSelected="1" workbookViewId="0">
      <selection activeCell="O5" sqref="O5"/>
    </sheetView>
  </sheetViews>
  <sheetFormatPr defaultRowHeight="15" x14ac:dyDescent="0.25"/>
  <sheetData>
    <row r="1" spans="1:17" ht="30.75" thickBot="1" x14ac:dyDescent="0.3">
      <c r="A1" s="4" t="s">
        <v>79</v>
      </c>
      <c r="B1" s="5" t="s">
        <v>61</v>
      </c>
      <c r="C1" s="5" t="s">
        <v>74</v>
      </c>
      <c r="D1" s="5" t="s">
        <v>59</v>
      </c>
      <c r="E1" s="5" t="s">
        <v>63</v>
      </c>
      <c r="F1" s="5" t="s">
        <v>65</v>
      </c>
      <c r="G1" s="5" t="s">
        <v>78</v>
      </c>
      <c r="H1" s="5" t="s">
        <v>69</v>
      </c>
      <c r="J1" t="s">
        <v>79</v>
      </c>
      <c r="K1" t="s">
        <v>61</v>
      </c>
      <c r="L1" t="s">
        <v>74</v>
      </c>
      <c r="M1" t="s">
        <v>59</v>
      </c>
      <c r="N1" t="s">
        <v>63</v>
      </c>
      <c r="O1" t="s">
        <v>65</v>
      </c>
      <c r="P1" t="s">
        <v>78</v>
      </c>
      <c r="Q1" t="s">
        <v>69</v>
      </c>
    </row>
    <row r="2" spans="1:17" x14ac:dyDescent="0.25">
      <c r="A2" s="9">
        <v>1</v>
      </c>
      <c r="B2" s="9">
        <v>-1.06E-3</v>
      </c>
      <c r="C2" s="9">
        <v>3.5100000000000001E-3</v>
      </c>
      <c r="D2" s="9">
        <v>2.4610000000000001E-3</v>
      </c>
      <c r="E2" s="11"/>
      <c r="F2" s="11"/>
      <c r="G2" s="11"/>
      <c r="H2" s="11"/>
      <c r="J2">
        <v>1</v>
      </c>
      <c r="K2" s="15">
        <v>-1.06E-3</v>
      </c>
      <c r="L2" s="15">
        <v>3.5100000000000001E-3</v>
      </c>
      <c r="M2" s="15">
        <v>2.4610000000000001E-3</v>
      </c>
      <c r="N2" s="15"/>
      <c r="O2" s="15"/>
      <c r="P2" s="15"/>
      <c r="Q2" s="15"/>
    </row>
    <row r="3" spans="1:17" ht="15.75" thickBot="1" x14ac:dyDescent="0.3">
      <c r="A3" s="10"/>
      <c r="B3" s="10"/>
      <c r="C3" s="10"/>
      <c r="D3" s="10"/>
      <c r="E3" s="12"/>
      <c r="F3" s="12"/>
      <c r="G3" s="12"/>
      <c r="H3" s="12"/>
      <c r="J3">
        <v>2</v>
      </c>
      <c r="K3" s="15"/>
      <c r="L3" s="15">
        <v>-5.6699999999999997E-3</v>
      </c>
      <c r="M3" s="15">
        <v>2.8760000000000001E-3</v>
      </c>
      <c r="N3" s="15"/>
      <c r="O3" s="15"/>
      <c r="P3" s="15"/>
      <c r="Q3" s="15"/>
    </row>
    <row r="4" spans="1:17" ht="16.5" thickBot="1" x14ac:dyDescent="0.3">
      <c r="A4" s="8">
        <v>2</v>
      </c>
      <c r="B4" s="7"/>
      <c r="C4" s="6">
        <v>-5.6699999999999997E-3</v>
      </c>
      <c r="D4" s="6">
        <v>2.8760000000000001E-3</v>
      </c>
      <c r="E4" s="7"/>
      <c r="F4" s="7"/>
      <c r="G4" s="7"/>
      <c r="H4" s="7"/>
      <c r="J4">
        <v>3</v>
      </c>
      <c r="K4" s="15"/>
      <c r="L4" s="15">
        <v>3.3969999999999998E-3</v>
      </c>
      <c r="M4" s="15">
        <v>3.6289999999999998E-3</v>
      </c>
      <c r="N4" s="15"/>
      <c r="O4" s="15"/>
      <c r="P4" s="15"/>
      <c r="Q4" s="15"/>
    </row>
    <row r="5" spans="1:17" ht="16.5" thickBot="1" x14ac:dyDescent="0.3">
      <c r="A5" s="8">
        <v>3</v>
      </c>
      <c r="B5" s="7"/>
      <c r="C5" s="6">
        <v>3.3969999999999998E-3</v>
      </c>
      <c r="D5" s="6">
        <v>3.6289999999999998E-3</v>
      </c>
      <c r="E5" s="7"/>
      <c r="F5" s="7"/>
      <c r="G5" s="7"/>
      <c r="H5" s="7"/>
      <c r="J5">
        <v>4</v>
      </c>
      <c r="K5" s="15"/>
      <c r="L5" s="15">
        <v>2.8500000000000001E-3</v>
      </c>
      <c r="M5" s="15">
        <v>4.4749999999999998E-3</v>
      </c>
      <c r="N5" s="15"/>
      <c r="O5" s="15"/>
      <c r="P5" s="15"/>
      <c r="Q5" s="15"/>
    </row>
    <row r="6" spans="1:17" ht="16.5" thickBot="1" x14ac:dyDescent="0.3">
      <c r="A6" s="8">
        <v>4</v>
      </c>
      <c r="B6" s="7"/>
      <c r="C6" s="6">
        <v>2.8500000000000001E-3</v>
      </c>
      <c r="D6" s="6">
        <v>4.4749999999999998E-3</v>
      </c>
      <c r="E6" s="7"/>
      <c r="F6" s="7"/>
      <c r="G6" s="7"/>
      <c r="H6" s="7"/>
      <c r="J6">
        <v>5</v>
      </c>
      <c r="K6" s="15">
        <v>5.3749999999999996E-3</v>
      </c>
      <c r="L6" s="15">
        <v>-2.4599999999999999E-3</v>
      </c>
      <c r="M6" s="15">
        <v>7.6319999999999999E-3</v>
      </c>
      <c r="N6" s="15">
        <v>2.777E-3</v>
      </c>
      <c r="O6" s="15">
        <v>-1.34E-3</v>
      </c>
      <c r="P6" s="15">
        <v>8.4000000000000003E-4</v>
      </c>
      <c r="Q6" s="15"/>
    </row>
    <row r="7" spans="1:17" x14ac:dyDescent="0.25">
      <c r="A7" s="9">
        <v>5</v>
      </c>
      <c r="B7" s="9">
        <v>5.3749999999999996E-3</v>
      </c>
      <c r="C7" s="9">
        <v>-2.4599999999999999E-3</v>
      </c>
      <c r="D7" s="9">
        <v>7.6319999999999999E-3</v>
      </c>
      <c r="E7" s="9">
        <v>2.777E-3</v>
      </c>
      <c r="F7" s="9">
        <v>-1.34E-3</v>
      </c>
      <c r="G7" s="9">
        <v>8.4000000000000003E-4</v>
      </c>
      <c r="H7" s="11"/>
      <c r="J7">
        <v>6</v>
      </c>
      <c r="K7" s="15">
        <v>-2.7399999999999998E-3</v>
      </c>
      <c r="L7" s="15">
        <v>2.016E-3</v>
      </c>
      <c r="M7" s="15">
        <v>4.3742000000000003E-2</v>
      </c>
      <c r="N7" s="15"/>
      <c r="O7" s="15"/>
      <c r="P7" s="15"/>
      <c r="Q7" s="15"/>
    </row>
    <row r="8" spans="1:17" ht="15.75" thickBot="1" x14ac:dyDescent="0.3">
      <c r="A8" s="10"/>
      <c r="B8" s="10"/>
      <c r="C8" s="10"/>
      <c r="D8" s="10"/>
      <c r="E8" s="10"/>
      <c r="F8" s="10"/>
      <c r="G8" s="10"/>
      <c r="H8" s="12"/>
      <c r="J8">
        <v>7</v>
      </c>
      <c r="K8" s="15">
        <v>-9.1E-4</v>
      </c>
      <c r="L8" s="15">
        <v>3.8419999999999999E-3</v>
      </c>
      <c r="M8" s="15">
        <v>7.8917000000000001E-2</v>
      </c>
      <c r="N8" s="15">
        <v>-1.39E-3</v>
      </c>
      <c r="O8" s="15">
        <v>1.2979999999999999E-3</v>
      </c>
      <c r="P8" s="15">
        <v>2.2269999999999998E-3</v>
      </c>
      <c r="Q8" s="15"/>
    </row>
    <row r="9" spans="1:17" ht="16.5" thickBot="1" x14ac:dyDescent="0.3">
      <c r="A9" s="8">
        <v>6</v>
      </c>
      <c r="B9" s="6">
        <v>-2.7399999999999998E-3</v>
      </c>
      <c r="C9" s="6">
        <v>2.016E-3</v>
      </c>
      <c r="D9" s="6">
        <v>4.3742000000000003E-2</v>
      </c>
      <c r="E9" s="7"/>
      <c r="F9" s="7"/>
      <c r="G9" s="7"/>
      <c r="H9" s="7"/>
      <c r="J9">
        <v>8</v>
      </c>
      <c r="K9" s="15">
        <v>-1.2500000000000001E-2</v>
      </c>
      <c r="L9" s="15">
        <v>1.1261E-2</v>
      </c>
      <c r="M9" s="15">
        <v>0.265984</v>
      </c>
      <c r="N9" s="15">
        <v>9.19E-4</v>
      </c>
      <c r="O9" s="15">
        <v>-1.56E-3</v>
      </c>
      <c r="P9" s="15">
        <v>5.1050000000000002E-3</v>
      </c>
      <c r="Q9" s="15">
        <v>-1E-4</v>
      </c>
    </row>
    <row r="10" spans="1:17" ht="16.5" thickBot="1" x14ac:dyDescent="0.3">
      <c r="A10" s="8">
        <v>7</v>
      </c>
      <c r="B10" s="6">
        <v>-9.1E-4</v>
      </c>
      <c r="C10" s="6">
        <v>3.8419999999999999E-3</v>
      </c>
      <c r="D10" s="6">
        <v>7.8917000000000001E-2</v>
      </c>
      <c r="E10" s="6">
        <v>-1.39E-3</v>
      </c>
      <c r="F10" s="6">
        <v>1.2979999999999999E-3</v>
      </c>
      <c r="G10" s="6">
        <v>2.2269999999999998E-3</v>
      </c>
      <c r="H10" s="7"/>
      <c r="J10">
        <v>9</v>
      </c>
      <c r="K10" s="15">
        <v>6.02E-4</v>
      </c>
      <c r="L10" s="15">
        <v>7.5030000000000001E-3</v>
      </c>
      <c r="M10" s="15">
        <v>2.0511999999999999E-2</v>
      </c>
      <c r="N10" s="15">
        <v>1.4369999999999999E-3</v>
      </c>
      <c r="O10" s="15">
        <v>-6.2E-4</v>
      </c>
      <c r="P10" s="15"/>
      <c r="Q10" s="15">
        <v>-2.1900000000000001E-3</v>
      </c>
    </row>
    <row r="11" spans="1:17" ht="15.75" thickBot="1" x14ac:dyDescent="0.3">
      <c r="A11" s="8">
        <v>8</v>
      </c>
      <c r="B11" s="6">
        <v>-1.2500000000000001E-2</v>
      </c>
      <c r="C11" s="6">
        <v>1.1261E-2</v>
      </c>
      <c r="D11" s="6">
        <v>0.265984</v>
      </c>
      <c r="E11" s="6">
        <v>9.19E-4</v>
      </c>
      <c r="F11" s="6">
        <v>-1.56E-3</v>
      </c>
      <c r="G11" s="6">
        <v>5.1050000000000002E-3</v>
      </c>
      <c r="H11" s="6">
        <v>-1E-4</v>
      </c>
      <c r="J11">
        <v>10</v>
      </c>
      <c r="K11" s="15">
        <v>4.1609999999999998E-3</v>
      </c>
      <c r="L11" s="15">
        <v>9.5219999999999992E-3</v>
      </c>
      <c r="M11" s="15">
        <v>2.7158000000000002E-2</v>
      </c>
      <c r="N11" s="15">
        <v>-1.6800000000000001E-3</v>
      </c>
      <c r="O11" s="15">
        <v>1.2600000000000001E-3</v>
      </c>
      <c r="P11" s="15">
        <v>-1.8000000000000001E-4</v>
      </c>
      <c r="Q11" s="15">
        <v>-2E-3</v>
      </c>
    </row>
    <row r="12" spans="1:17" ht="16.5" thickBot="1" x14ac:dyDescent="0.3">
      <c r="A12" s="8">
        <v>9</v>
      </c>
      <c r="B12" s="6">
        <v>6.02E-4</v>
      </c>
      <c r="C12" s="6">
        <v>7.5030000000000001E-3</v>
      </c>
      <c r="D12" s="6">
        <v>2.0511999999999999E-2</v>
      </c>
      <c r="E12" s="6">
        <v>1.4369999999999999E-3</v>
      </c>
      <c r="F12" s="6">
        <v>-6.2E-4</v>
      </c>
      <c r="G12" s="7"/>
      <c r="H12" s="6">
        <v>-2.1900000000000001E-3</v>
      </c>
      <c r="J12">
        <v>11</v>
      </c>
      <c r="K12" s="15">
        <v>-1.39E-3</v>
      </c>
      <c r="L12" s="15">
        <v>-7.3999999999999999E-4</v>
      </c>
      <c r="M12" s="15">
        <v>-3.5500000000000002E-3</v>
      </c>
      <c r="N12" s="15"/>
      <c r="O12" s="15">
        <v>-8.0000000000000004E-4</v>
      </c>
      <c r="P12" s="15"/>
      <c r="Q12" s="15">
        <v>-8.0000000000000004E-4</v>
      </c>
    </row>
    <row r="13" spans="1:17" x14ac:dyDescent="0.25">
      <c r="A13" s="9">
        <v>10</v>
      </c>
      <c r="B13" s="9">
        <v>4.1609999999999998E-3</v>
      </c>
      <c r="C13" s="9">
        <v>9.5219999999999992E-3</v>
      </c>
      <c r="D13" s="9">
        <v>2.7158000000000002E-2</v>
      </c>
      <c r="E13" s="9">
        <v>-1.6800000000000001E-3</v>
      </c>
      <c r="F13" s="9">
        <v>1.2600000000000001E-3</v>
      </c>
      <c r="G13" s="9">
        <v>-1.8000000000000001E-4</v>
      </c>
      <c r="H13" s="9">
        <v>-2E-3</v>
      </c>
      <c r="J13">
        <v>12</v>
      </c>
      <c r="K13" s="15">
        <v>4.3750000000000004E-3</v>
      </c>
      <c r="L13" s="15">
        <v>-8.8999999999999995E-5</v>
      </c>
      <c r="M13" s="15">
        <v>-8.7200000000000003E-3</v>
      </c>
      <c r="N13" s="15"/>
      <c r="O13" s="15">
        <v>-2.5000000000000001E-4</v>
      </c>
      <c r="P13" s="15">
        <v>1.8979999999999999E-3</v>
      </c>
      <c r="Q13" s="15">
        <v>-6.4899999999999997E-6</v>
      </c>
    </row>
    <row r="14" spans="1:17" ht="15.75" thickBot="1" x14ac:dyDescent="0.3">
      <c r="A14" s="10"/>
      <c r="B14" s="10"/>
      <c r="C14" s="10"/>
      <c r="D14" s="10"/>
      <c r="E14" s="10"/>
      <c r="F14" s="10"/>
      <c r="G14" s="10"/>
      <c r="H14" s="10"/>
      <c r="J14" t="s">
        <v>80</v>
      </c>
      <c r="K14" t="s">
        <v>61</v>
      </c>
      <c r="L14" t="s">
        <v>74</v>
      </c>
      <c r="M14" t="s">
        <v>59</v>
      </c>
      <c r="N14" t="s">
        <v>63</v>
      </c>
      <c r="O14" t="s">
        <v>65</v>
      </c>
      <c r="P14" t="s">
        <v>78</v>
      </c>
      <c r="Q14" t="s">
        <v>69</v>
      </c>
    </row>
    <row r="15" spans="1:17" ht="16.5" thickBot="1" x14ac:dyDescent="0.3">
      <c r="A15" s="8">
        <v>11</v>
      </c>
      <c r="B15" s="6">
        <v>-1.39E-3</v>
      </c>
      <c r="C15" s="6">
        <v>-7.3999999999999999E-4</v>
      </c>
      <c r="D15" s="6">
        <v>-3.5500000000000002E-3</v>
      </c>
      <c r="E15" s="7"/>
      <c r="F15" s="6">
        <v>-8.0000000000000004E-4</v>
      </c>
      <c r="G15" s="7"/>
      <c r="H15" s="6">
        <v>-8.0000000000000004E-4</v>
      </c>
      <c r="J15">
        <v>1</v>
      </c>
      <c r="K15" s="15">
        <v>2.0790000000000001E-3</v>
      </c>
      <c r="L15" s="15">
        <v>0</v>
      </c>
      <c r="M15" s="15">
        <v>0</v>
      </c>
      <c r="N15" s="15"/>
      <c r="O15" s="15"/>
      <c r="P15" s="15"/>
      <c r="Q15" s="15"/>
    </row>
    <row r="16" spans="1:17" x14ac:dyDescent="0.25">
      <c r="A16" s="9">
        <v>12</v>
      </c>
      <c r="B16" s="9">
        <v>4.3750000000000004E-3</v>
      </c>
      <c r="C16" s="13">
        <v>-8.8999999999999995E-5</v>
      </c>
      <c r="D16" s="9">
        <v>-8.7200000000000003E-3</v>
      </c>
      <c r="E16" s="11"/>
      <c r="F16" s="9">
        <v>-2.5000000000000001E-4</v>
      </c>
      <c r="G16" s="9">
        <v>1.8979999999999999E-3</v>
      </c>
      <c r="H16" s="13">
        <v>-6.4899999999999997E-6</v>
      </c>
      <c r="J16">
        <v>2</v>
      </c>
      <c r="K16" s="15"/>
      <c r="L16" s="15">
        <v>4.1999999999999997E-3</v>
      </c>
      <c r="M16" s="15">
        <v>0</v>
      </c>
      <c r="N16" s="15"/>
      <c r="O16" s="15"/>
      <c r="P16" s="15"/>
      <c r="Q16" s="15"/>
    </row>
    <row r="17" spans="1:17" ht="15.75" thickBot="1" x14ac:dyDescent="0.3">
      <c r="A17" s="10"/>
      <c r="B17" s="10"/>
      <c r="C17" s="14"/>
      <c r="D17" s="10"/>
      <c r="E17" s="12"/>
      <c r="F17" s="10"/>
      <c r="G17" s="10"/>
      <c r="H17" s="14"/>
      <c r="J17">
        <v>3</v>
      </c>
      <c r="K17" s="15"/>
      <c r="L17" s="15">
        <v>0</v>
      </c>
      <c r="M17" s="15">
        <v>0</v>
      </c>
      <c r="N17" s="15"/>
      <c r="O17" s="15"/>
      <c r="P17" s="15"/>
      <c r="Q17" s="15"/>
    </row>
    <row r="18" spans="1:17" ht="45.75" thickBot="1" x14ac:dyDescent="0.3">
      <c r="A18" s="8" t="s">
        <v>80</v>
      </c>
      <c r="B18" s="6" t="s">
        <v>61</v>
      </c>
      <c r="C18" s="6" t="s">
        <v>74</v>
      </c>
      <c r="D18" s="6" t="s">
        <v>59</v>
      </c>
      <c r="E18" s="6" t="s">
        <v>63</v>
      </c>
      <c r="F18" s="6" t="s">
        <v>65</v>
      </c>
      <c r="G18" s="6" t="s">
        <v>78</v>
      </c>
      <c r="H18" s="6" t="s">
        <v>69</v>
      </c>
      <c r="J18">
        <v>4</v>
      </c>
      <c r="K18" s="15"/>
      <c r="L18" s="15">
        <v>0</v>
      </c>
      <c r="M18" s="15">
        <v>0</v>
      </c>
      <c r="N18" s="15"/>
      <c r="O18" s="15"/>
      <c r="P18" s="15"/>
      <c r="Q18" s="15"/>
    </row>
    <row r="19" spans="1:17" x14ac:dyDescent="0.25">
      <c r="A19" s="9">
        <v>1</v>
      </c>
      <c r="B19" s="9">
        <v>2.0790000000000001E-3</v>
      </c>
      <c r="C19" s="9">
        <v>0</v>
      </c>
      <c r="D19" s="9">
        <v>0</v>
      </c>
      <c r="E19" s="11"/>
      <c r="F19" s="11"/>
      <c r="G19" s="11"/>
      <c r="H19" s="11"/>
      <c r="J19">
        <v>5</v>
      </c>
      <c r="K19" s="15">
        <v>7.3700000000000002E-4</v>
      </c>
      <c r="L19" s="15">
        <v>7.2000000000000005E-4</v>
      </c>
      <c r="M19" s="15">
        <v>3.9849999999999998E-3</v>
      </c>
      <c r="N19" s="15">
        <v>0</v>
      </c>
      <c r="O19" s="15">
        <v>1.4469999999999999E-3</v>
      </c>
      <c r="P19" s="15">
        <v>0</v>
      </c>
      <c r="Q19" s="15"/>
    </row>
    <row r="20" spans="1:17" ht="15.75" thickBot="1" x14ac:dyDescent="0.3">
      <c r="A20" s="10"/>
      <c r="B20" s="10"/>
      <c r="C20" s="10"/>
      <c r="D20" s="10"/>
      <c r="E20" s="12"/>
      <c r="F20" s="12"/>
      <c r="G20" s="12"/>
      <c r="H20" s="12"/>
      <c r="J20">
        <v>6</v>
      </c>
      <c r="K20" s="15">
        <v>0</v>
      </c>
      <c r="L20" s="15">
        <v>0</v>
      </c>
      <c r="M20" s="15">
        <v>2.7272999999999999E-2</v>
      </c>
      <c r="N20" s="15"/>
      <c r="O20" s="15"/>
      <c r="P20" s="15"/>
      <c r="Q20" s="15"/>
    </row>
    <row r="21" spans="1:17" ht="16.5" thickBot="1" x14ac:dyDescent="0.3">
      <c r="A21" s="8">
        <v>2</v>
      </c>
      <c r="B21" s="7"/>
      <c r="C21" s="6">
        <v>4.1999999999999997E-3</v>
      </c>
      <c r="D21" s="6">
        <v>0</v>
      </c>
      <c r="E21" s="7"/>
      <c r="F21" s="7"/>
      <c r="G21" s="7"/>
      <c r="H21" s="7"/>
      <c r="J21">
        <v>7</v>
      </c>
      <c r="K21" s="15">
        <v>6.6500000000000001E-4</v>
      </c>
      <c r="L21" s="15">
        <v>0</v>
      </c>
      <c r="M21" s="15">
        <v>0.14418</v>
      </c>
      <c r="N21" s="15">
        <v>0</v>
      </c>
      <c r="O21" s="15">
        <v>0</v>
      </c>
      <c r="P21" s="15">
        <v>0</v>
      </c>
      <c r="Q21" s="15"/>
    </row>
    <row r="22" spans="1:17" ht="16.5" thickBot="1" x14ac:dyDescent="0.3">
      <c r="A22" s="8">
        <v>3</v>
      </c>
      <c r="B22" s="7"/>
      <c r="C22" s="6">
        <v>0</v>
      </c>
      <c r="D22" s="6">
        <v>0</v>
      </c>
      <c r="E22" s="7"/>
      <c r="F22" s="7"/>
      <c r="G22" s="7"/>
      <c r="H22" s="7"/>
      <c r="J22">
        <v>8</v>
      </c>
      <c r="K22" s="15">
        <v>1.7923000000000001E-2</v>
      </c>
      <c r="L22" s="15">
        <v>5.2089999999999997E-2</v>
      </c>
      <c r="M22" s="15">
        <v>0.67445299999999997</v>
      </c>
      <c r="N22" s="15">
        <v>3.3300000000000002E-4</v>
      </c>
      <c r="O22" s="15">
        <v>0</v>
      </c>
      <c r="P22" s="15">
        <v>0</v>
      </c>
      <c r="Q22" s="15">
        <v>2.843E-3</v>
      </c>
    </row>
    <row r="23" spans="1:17" ht="16.5" thickBot="1" x14ac:dyDescent="0.3">
      <c r="A23" s="8">
        <v>4</v>
      </c>
      <c r="B23" s="7"/>
      <c r="C23" s="6">
        <v>0</v>
      </c>
      <c r="D23" s="6">
        <v>0</v>
      </c>
      <c r="E23" s="7"/>
      <c r="F23" s="7"/>
      <c r="G23" s="7"/>
      <c r="H23" s="7"/>
      <c r="J23">
        <v>9</v>
      </c>
      <c r="K23" s="15">
        <v>0</v>
      </c>
      <c r="L23" s="15">
        <v>0</v>
      </c>
      <c r="M23" s="15">
        <v>0.115646</v>
      </c>
      <c r="N23" s="15">
        <v>0</v>
      </c>
      <c r="O23" s="15">
        <v>2.6970000000000002E-3</v>
      </c>
      <c r="P23" s="15"/>
      <c r="Q23" s="15">
        <v>2.48E-3</v>
      </c>
    </row>
    <row r="24" spans="1:17" x14ac:dyDescent="0.25">
      <c r="A24" s="9">
        <v>5</v>
      </c>
      <c r="B24" s="9">
        <v>7.3700000000000002E-4</v>
      </c>
      <c r="C24" s="9">
        <v>7.2000000000000005E-4</v>
      </c>
      <c r="D24" s="9">
        <v>3.9849999999999998E-3</v>
      </c>
      <c r="E24" s="9">
        <v>0</v>
      </c>
      <c r="F24" s="9">
        <v>1.4469999999999999E-3</v>
      </c>
      <c r="G24" s="9">
        <v>0</v>
      </c>
      <c r="H24" s="11"/>
      <c r="J24">
        <v>10</v>
      </c>
      <c r="K24" s="15">
        <v>2.7070000000000002E-3</v>
      </c>
      <c r="L24" s="15">
        <v>2.7529999999999998E-3</v>
      </c>
      <c r="M24" s="15">
        <v>0.57568200000000003</v>
      </c>
      <c r="N24" s="15">
        <v>1.013E-3</v>
      </c>
      <c r="O24" s="15">
        <v>0</v>
      </c>
      <c r="P24" s="15">
        <v>0</v>
      </c>
      <c r="Q24" s="15">
        <v>3.398E-3</v>
      </c>
    </row>
    <row r="25" spans="1:17" ht="15.75" thickBot="1" x14ac:dyDescent="0.3">
      <c r="A25" s="10"/>
      <c r="B25" s="10"/>
      <c r="C25" s="10"/>
      <c r="D25" s="10"/>
      <c r="E25" s="10"/>
      <c r="F25" s="10"/>
      <c r="G25" s="10"/>
      <c r="H25" s="12"/>
      <c r="J25">
        <v>11</v>
      </c>
      <c r="K25" s="15">
        <v>8.4500000000000005E-4</v>
      </c>
      <c r="L25" s="15">
        <v>0</v>
      </c>
      <c r="M25" s="15">
        <v>4.5053000000000003E-2</v>
      </c>
      <c r="N25" s="15"/>
      <c r="O25" s="15">
        <v>0</v>
      </c>
      <c r="P25" s="15"/>
      <c r="Q25" s="15">
        <v>0</v>
      </c>
    </row>
    <row r="26" spans="1:17" ht="16.5" thickBot="1" x14ac:dyDescent="0.3">
      <c r="A26" s="8">
        <v>6</v>
      </c>
      <c r="B26" s="6">
        <v>0</v>
      </c>
      <c r="C26" s="6">
        <v>0</v>
      </c>
      <c r="D26" s="6">
        <v>2.7272999999999999E-2</v>
      </c>
      <c r="E26" s="7"/>
      <c r="F26" s="7"/>
      <c r="G26" s="7"/>
      <c r="H26" s="7"/>
      <c r="J26">
        <v>12</v>
      </c>
      <c r="K26" s="15">
        <v>0</v>
      </c>
      <c r="L26" s="15">
        <v>0</v>
      </c>
      <c r="M26" s="15">
        <v>5.3762999999999998E-2</v>
      </c>
      <c r="N26" s="15"/>
      <c r="O26" s="15">
        <v>1.196E-3</v>
      </c>
      <c r="P26" s="15">
        <v>0</v>
      </c>
      <c r="Q26" s="15">
        <v>2.9599999999999998E-4</v>
      </c>
    </row>
    <row r="27" spans="1:17" ht="16.5" thickBot="1" x14ac:dyDescent="0.3">
      <c r="A27" s="8">
        <v>7</v>
      </c>
      <c r="B27" s="6">
        <v>6.6500000000000001E-4</v>
      </c>
      <c r="C27" s="6">
        <v>0</v>
      </c>
      <c r="D27" s="6">
        <v>0.14418</v>
      </c>
      <c r="E27" s="6">
        <v>0</v>
      </c>
      <c r="F27" s="6">
        <v>0</v>
      </c>
      <c r="G27" s="6">
        <v>0</v>
      </c>
      <c r="H27" s="7"/>
    </row>
    <row r="28" spans="1:17" ht="15.75" thickBot="1" x14ac:dyDescent="0.3">
      <c r="A28" s="8">
        <v>8</v>
      </c>
      <c r="B28" s="6">
        <v>1.7923000000000001E-2</v>
      </c>
      <c r="C28" s="6">
        <v>5.2089999999999997E-2</v>
      </c>
      <c r="D28" s="6">
        <v>0.67445299999999997</v>
      </c>
      <c r="E28" s="6">
        <v>3.3300000000000002E-4</v>
      </c>
      <c r="F28" s="6">
        <v>0</v>
      </c>
      <c r="G28" s="6">
        <v>0</v>
      </c>
      <c r="H28" s="6">
        <v>2.843E-3</v>
      </c>
    </row>
    <row r="29" spans="1:17" ht="16.5" thickBot="1" x14ac:dyDescent="0.3">
      <c r="A29" s="8">
        <v>9</v>
      </c>
      <c r="B29" s="6">
        <v>0</v>
      </c>
      <c r="C29" s="6">
        <v>0</v>
      </c>
      <c r="D29" s="6">
        <v>0.115646</v>
      </c>
      <c r="E29" s="6">
        <v>0</v>
      </c>
      <c r="F29" s="6">
        <v>2.6970000000000002E-3</v>
      </c>
      <c r="G29" s="7"/>
      <c r="H29" s="6">
        <v>2.48E-3</v>
      </c>
    </row>
    <row r="30" spans="1:17" ht="15.75" thickBot="1" x14ac:dyDescent="0.3">
      <c r="A30" s="8">
        <v>10</v>
      </c>
      <c r="B30" s="6">
        <v>2.7070000000000002E-3</v>
      </c>
      <c r="C30" s="6">
        <v>2.7529999999999998E-3</v>
      </c>
      <c r="D30" s="6">
        <v>0.57568200000000003</v>
      </c>
      <c r="E30" s="6">
        <v>1.013E-3</v>
      </c>
      <c r="F30" s="6">
        <v>0</v>
      </c>
      <c r="G30" s="6">
        <v>0</v>
      </c>
      <c r="H30" s="6">
        <v>3.398E-3</v>
      </c>
    </row>
    <row r="31" spans="1:17" ht="16.5" thickBot="1" x14ac:dyDescent="0.3">
      <c r="A31" s="8">
        <v>11</v>
      </c>
      <c r="B31" s="6">
        <v>8.4500000000000005E-4</v>
      </c>
      <c r="C31" s="6">
        <v>0</v>
      </c>
      <c r="D31" s="6">
        <v>4.5053000000000003E-2</v>
      </c>
      <c r="E31" s="7"/>
      <c r="F31" s="6">
        <v>0</v>
      </c>
      <c r="G31" s="7"/>
      <c r="H31" s="6">
        <v>0</v>
      </c>
    </row>
    <row r="32" spans="1:17" ht="16.5" thickBot="1" x14ac:dyDescent="0.3">
      <c r="A32" s="8">
        <v>12</v>
      </c>
      <c r="B32" s="6">
        <v>0</v>
      </c>
      <c r="C32" s="6">
        <v>0</v>
      </c>
      <c r="D32" s="6">
        <v>5.3762999999999998E-2</v>
      </c>
      <c r="E32" s="7"/>
      <c r="F32" s="6">
        <v>1.196E-3</v>
      </c>
      <c r="G32" s="6">
        <v>0</v>
      </c>
      <c r="H32" s="6">
        <v>2.9599999999999998E-4</v>
      </c>
    </row>
  </sheetData>
  <mergeCells count="48">
    <mergeCell ref="G19:G20"/>
    <mergeCell ref="H19:H20"/>
    <mergeCell ref="A24:A25"/>
    <mergeCell ref="B24:B25"/>
    <mergeCell ref="C24:C25"/>
    <mergeCell ref="D24:D25"/>
    <mergeCell ref="E24:E25"/>
    <mergeCell ref="F24:F25"/>
    <mergeCell ref="G24:G25"/>
    <mergeCell ref="H24:H25"/>
    <mergeCell ref="A19:A20"/>
    <mergeCell ref="B19:B20"/>
    <mergeCell ref="C19:C20"/>
    <mergeCell ref="D19:D20"/>
    <mergeCell ref="E19:E20"/>
    <mergeCell ref="F19:F20"/>
    <mergeCell ref="G13:G14"/>
    <mergeCell ref="H13:H14"/>
    <mergeCell ref="A16:A17"/>
    <mergeCell ref="B16:B17"/>
    <mergeCell ref="C16:C17"/>
    <mergeCell ref="D16:D17"/>
    <mergeCell ref="E16:E17"/>
    <mergeCell ref="F16:F17"/>
    <mergeCell ref="G16:G17"/>
    <mergeCell ref="H16:H17"/>
    <mergeCell ref="A13:A14"/>
    <mergeCell ref="B13:B14"/>
    <mergeCell ref="C13:C14"/>
    <mergeCell ref="D13:D14"/>
    <mergeCell ref="E13:E14"/>
    <mergeCell ref="F13:F14"/>
    <mergeCell ref="G2:G3"/>
    <mergeCell ref="H2:H3"/>
    <mergeCell ref="A7:A8"/>
    <mergeCell ref="B7:B8"/>
    <mergeCell ref="C7:C8"/>
    <mergeCell ref="D7:D8"/>
    <mergeCell ref="E7:E8"/>
    <mergeCell ref="F7:F8"/>
    <mergeCell ref="G7:G8"/>
    <mergeCell ref="H7:H8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2026-02-18T00:33:07Z</dcterms:modified>
</cp:coreProperties>
</file>